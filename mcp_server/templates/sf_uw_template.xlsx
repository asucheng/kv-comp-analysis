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66925"/>
  <mc:AlternateContent xmlns:mc="http://schemas.openxmlformats.org/markup-compatibility/2006">
    <mc:Choice Requires="x15">
      <x15ac:absPath xmlns:x15ac="http://schemas.microsoft.com/office/spreadsheetml/2010/11/ac" url="https://kvcapital-my.sharepoint.com/personal/tyler_cikaluk_kvcapital_ca/Documents/Desktop/"/>
    </mc:Choice>
  </mc:AlternateContent>
  <xr:revisionPtr revIDLastSave="57" documentId="8_{92707599-A760-4F0D-82AD-020E4CD90BFA}" xr6:coauthVersionLast="47" xr6:coauthVersionMax="47" xr10:uidLastSave="{8CD83F17-5DD5-47CC-B2D7-44F377F30EAD}"/>
  <bookViews>
    <workbookView xWindow="28680" yWindow="-120" windowWidth="29040" windowHeight="15720" xr2:uid="{8FE490BC-9F53-46E1-9810-8EF689EED970}"/>
  </bookViews>
  <sheets>
    <sheet name="Summary" sheetId="3" r:id="rId1"/>
    <sheet name="Land UW" sheetId="45" r:id="rId2"/>
    <sheet name="Property Comparables" sheetId="4" r:id="rId3"/>
    <sheet name="Sheet3" sheetId="16" state="hidden" r:id="rId4"/>
    <sheet name="Sheet2" sheetId="19" state="hidden" r:id="rId5"/>
    <sheet name="Land Comps" sheetId="39" state="hidden" r:id="rId6"/>
  </sheets>
  <externalReferences>
    <externalReference r:id="rId7"/>
    <externalReference r:id="rId8"/>
  </externalReferences>
  <definedNames>
    <definedName name="_xlnm._FilterDatabase" localSheetId="4" hidden="1">Sheet2!$B$3:$BC$60</definedName>
    <definedName name="_xlnm._FilterDatabase" localSheetId="3" hidden="1">Sheet3!$B$2:$BC$58</definedName>
    <definedName name="AllottedFunds" localSheetId="0">#REF!</definedName>
    <definedName name="AllottedFunds">#REF!</definedName>
    <definedName name="Areas">[1]Data!$A$1:$A$11</definedName>
    <definedName name="ColumnTitle2">[2]!Data[[#Headers],[Item]]</definedName>
    <definedName name="Estimators">[1]Data!$D$1:$D$5</definedName>
    <definedName name="FundsRemaining" localSheetId="0">INDEX(#REF!,ROWS(#REF!),1)</definedName>
    <definedName name="FundsRemaining">INDEX(#REF!,ROWS(#REF!),1)</definedName>
    <definedName name="FundsRemainingLabel" localSheetId="0">#REF!</definedName>
    <definedName name="FundsRemainingLabel">#REF!</definedName>
    <definedName name="FundsUsed" localSheetId="0">#REF!</definedName>
    <definedName name="FundsUsed">#REF!</definedName>
    <definedName name="FundsUsedLabel" localSheetId="0">#REF!</definedName>
    <definedName name="FundsUsedLabel">#REF!</definedName>
    <definedName name="RowTitleRegion1..C11" localSheetId="0">#REF!</definedName>
    <definedName name="RowTitleRegion1..C11">#REF!</definedName>
    <definedName name="Title1" localSheetId="0">#REF!</definedName>
    <definedName name="Titl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4" l="1"/>
  <c r="J34" i="4"/>
  <c r="D43" i="3"/>
  <c r="D44" i="3"/>
  <c r="D40" i="3" l="1"/>
  <c r="D30" i="3"/>
  <c r="D24" i="3"/>
  <c r="D19" i="3"/>
  <c r="D31" i="45"/>
  <c r="D33" i="45"/>
  <c r="G14" i="4"/>
  <c r="I40" i="4"/>
  <c r="H40" i="4"/>
  <c r="F40" i="4"/>
  <c r="E40" i="4"/>
  <c r="H38" i="4"/>
  <c r="H37" i="4"/>
  <c r="H31" i="4"/>
  <c r="H30" i="4"/>
  <c r="H14" i="4"/>
  <c r="P38" i="4"/>
  <c r="P37" i="4"/>
  <c r="P31" i="4"/>
  <c r="P30" i="4"/>
  <c r="P14" i="4"/>
  <c r="D26" i="3"/>
  <c r="D27" i="3" s="1"/>
  <c r="I38" i="4"/>
  <c r="I37" i="4"/>
  <c r="I31" i="4"/>
  <c r="I30" i="4"/>
  <c r="I14" i="4"/>
  <c r="K38" i="4"/>
  <c r="K37" i="4"/>
  <c r="K31" i="4"/>
  <c r="K30" i="4"/>
  <c r="K14" i="4"/>
  <c r="F14" i="4"/>
  <c r="H46" i="4" l="1"/>
  <c r="H48" i="4" s="1"/>
  <c r="H49" i="4" s="1"/>
  <c r="P46" i="4"/>
  <c r="P48" i="4" s="1"/>
  <c r="P49" i="4" s="1"/>
  <c r="I46" i="4"/>
  <c r="I48" i="4" s="1"/>
  <c r="I49" i="4" s="1"/>
  <c r="K46" i="4"/>
  <c r="K48" i="4" s="1"/>
  <c r="K49" i="4" s="1"/>
  <c r="L3" i="45"/>
  <c r="Q13" i="45"/>
  <c r="Q12" i="45"/>
  <c r="Q11" i="45"/>
  <c r="Q10" i="45"/>
  <c r="Q9" i="45"/>
  <c r="Q8" i="45"/>
  <c r="L7" i="45"/>
  <c r="O7" i="45" s="1"/>
  <c r="L6" i="45"/>
  <c r="O6" i="45" s="1"/>
  <c r="L5" i="45"/>
  <c r="O5" i="45" s="1"/>
  <c r="L4" i="45"/>
  <c r="O4" i="45" s="1"/>
  <c r="J38" i="4"/>
  <c r="G38" i="4"/>
  <c r="F38" i="4"/>
  <c r="E38" i="4"/>
  <c r="J31" i="4"/>
  <c r="G31" i="4"/>
  <c r="F31" i="4"/>
  <c r="B31" i="4"/>
  <c r="F37" i="4"/>
  <c r="G37" i="4"/>
  <c r="J37" i="4"/>
  <c r="E37" i="4"/>
  <c r="B37" i="3" l="1"/>
  <c r="D13" i="4"/>
  <c r="G46" i="4" l="1"/>
  <c r="G30" i="4"/>
  <c r="J46" i="4"/>
  <c r="G48" i="4" l="1"/>
  <c r="G49" i="4" s="1"/>
  <c r="D9" i="4"/>
  <c r="L13" i="45"/>
  <c r="L12" i="45"/>
  <c r="L11" i="45"/>
  <c r="Q7" i="45"/>
  <c r="Q6" i="45"/>
  <c r="Q5" i="45"/>
  <c r="Q4" i="45"/>
  <c r="L10" i="45"/>
  <c r="L9" i="45"/>
  <c r="L8" i="45"/>
  <c r="P7" i="45"/>
  <c r="G16" i="45"/>
  <c r="P13" i="45" l="1"/>
  <c r="O13" i="45"/>
  <c r="R13" i="45" s="1"/>
  <c r="P12" i="45"/>
  <c r="O12" i="45"/>
  <c r="R12" i="45" s="1"/>
  <c r="P11" i="45"/>
  <c r="O11" i="45"/>
  <c r="R11" i="45" s="1"/>
  <c r="P10" i="45"/>
  <c r="O10" i="45"/>
  <c r="R10" i="45" s="1"/>
  <c r="P9" i="45"/>
  <c r="O9" i="45"/>
  <c r="P8" i="45"/>
  <c r="O8" i="45"/>
  <c r="R8" i="45" s="1"/>
  <c r="R6" i="45"/>
  <c r="R5" i="45"/>
  <c r="P6" i="45"/>
  <c r="R9" i="45"/>
  <c r="R7" i="45"/>
  <c r="P5" i="45"/>
  <c r="F46" i="4"/>
  <c r="E46" i="4"/>
  <c r="F30" i="4"/>
  <c r="E30" i="4"/>
  <c r="E14" i="4"/>
  <c r="F48" i="4" l="1"/>
  <c r="F49" i="4" s="1"/>
  <c r="E48" i="4"/>
  <c r="E49" i="4" s="1"/>
  <c r="G3" i="45"/>
  <c r="Q3" i="45" s="1"/>
  <c r="C3" i="45"/>
  <c r="F3" i="45"/>
  <c r="E3" i="45"/>
  <c r="D3" i="45"/>
  <c r="D32" i="45"/>
  <c r="R4" i="45" l="1"/>
  <c r="P4" i="45"/>
  <c r="D26" i="45" s="1"/>
  <c r="P3" i="45"/>
  <c r="C29" i="45" l="1"/>
  <c r="C23" i="45"/>
  <c r="C31" i="45" s="1"/>
  <c r="D23" i="45"/>
  <c r="D29" i="45"/>
  <c r="D22" i="45"/>
  <c r="D27" i="45"/>
  <c r="C22" i="45"/>
  <c r="D25" i="45"/>
  <c r="D24" i="45"/>
  <c r="C24" i="45"/>
  <c r="C25" i="45"/>
  <c r="C26" i="45"/>
  <c r="C27" i="45"/>
  <c r="F5" i="4" l="1"/>
  <c r="G5" i="4" s="1"/>
  <c r="K5" i="4" s="1"/>
  <c r="J5" i="4" s="1"/>
  <c r="F33" i="39"/>
  <c r="F32" i="39"/>
  <c r="M14" i="39"/>
  <c r="O14" i="39" s="1"/>
  <c r="M13" i="39"/>
  <c r="O13" i="39" s="1"/>
  <c r="M12" i="39"/>
  <c r="O12" i="39" s="1"/>
  <c r="M11" i="39"/>
  <c r="O11" i="39" s="1"/>
  <c r="M10" i="39"/>
  <c r="O10" i="39" s="1"/>
  <c r="M9" i="39"/>
  <c r="O9" i="39" s="1"/>
  <c r="M8" i="39"/>
  <c r="O8" i="39" s="1"/>
  <c r="M7" i="39"/>
  <c r="O7" i="39" s="1"/>
  <c r="M6" i="39"/>
  <c r="O6" i="39" s="1"/>
  <c r="M5" i="39"/>
  <c r="O5" i="39" s="1"/>
  <c r="M4" i="39"/>
  <c r="O4" i="39" s="1"/>
  <c r="M16" i="39" l="1"/>
  <c r="I18" i="39" l="1"/>
  <c r="F18" i="39"/>
  <c r="J18" i="39" s="1"/>
  <c r="D21" i="4"/>
  <c r="D17" i="4"/>
  <c r="D65" i="4" s="1"/>
  <c r="D32" i="3" s="1"/>
  <c r="J14" i="4"/>
  <c r="D35" i="3" l="1"/>
  <c r="D18" i="4"/>
  <c r="O3" i="45"/>
  <c r="J30" i="4"/>
  <c r="C32" i="45" l="1"/>
  <c r="C33" i="45" s="1"/>
  <c r="R3" i="45"/>
  <c r="J48" i="4"/>
  <c r="J49" i="4" s="1"/>
  <c r="D33" i="39" l="1"/>
  <c r="O16" i="39" l="1"/>
  <c r="D24" i="39" s="1"/>
  <c r="H16" i="39" l="1"/>
  <c r="D25" i="39" l="1"/>
  <c r="E25" i="39" s="1"/>
  <c r="D23" i="39"/>
  <c r="E23" i="39" s="1"/>
  <c r="D22" i="39"/>
  <c r="E22" i="39" s="1"/>
  <c r="D26" i="39"/>
  <c r="E26" i="39" s="1"/>
  <c r="E24" i="39"/>
  <c r="F30" i="39"/>
  <c r="F16" i="39"/>
  <c r="I16" i="39" l="1"/>
  <c r="J16" i="39"/>
  <c r="D38" i="3" l="1"/>
  <c r="D39" i="3" s="1"/>
  <c r="B3" i="4"/>
  <c r="D6" i="4" s="1"/>
  <c r="B2" i="4"/>
  <c r="D12" i="4" s="1"/>
  <c r="BA11" i="19" l="1"/>
  <c r="AY11" i="19"/>
  <c r="AT11" i="19"/>
  <c r="AU11" i="19" s="1"/>
  <c r="AO11" i="19"/>
  <c r="AK11" i="19"/>
  <c r="AJ11" i="19"/>
  <c r="AE11" i="19"/>
  <c r="AF11" i="19" s="1"/>
  <c r="AG11" i="19" s="1"/>
  <c r="W11" i="19"/>
  <c r="V11" i="19"/>
  <c r="Q11" i="19"/>
  <c r="O11" i="19"/>
  <c r="I11" i="19"/>
  <c r="BA10" i="19"/>
  <c r="AX10" i="19"/>
  <c r="AY10" i="19" s="1"/>
  <c r="AT10" i="19"/>
  <c r="AU10" i="19" s="1"/>
  <c r="AO10" i="19"/>
  <c r="AK10" i="19"/>
  <c r="AJ10" i="19"/>
  <c r="AE10" i="19"/>
  <c r="AF10" i="19" s="1"/>
  <c r="W10" i="19"/>
  <c r="V10" i="19"/>
  <c r="Q10" i="19"/>
  <c r="O10" i="19"/>
  <c r="I10" i="19"/>
  <c r="BA9" i="19"/>
  <c r="AY9" i="19"/>
  <c r="AT9" i="19"/>
  <c r="AU9" i="19" s="1"/>
  <c r="AO9" i="19"/>
  <c r="AK9" i="19"/>
  <c r="AJ9" i="19"/>
  <c r="AF9" i="19"/>
  <c r="AG9" i="19" s="1"/>
  <c r="AE9" i="19"/>
  <c r="W9" i="19"/>
  <c r="V9" i="19"/>
  <c r="S9" i="19"/>
  <c r="Q9" i="19"/>
  <c r="O9" i="19"/>
  <c r="I9" i="19"/>
  <c r="BA8" i="19"/>
  <c r="AX8" i="19"/>
  <c r="AY8" i="19" s="1"/>
  <c r="AT8" i="19"/>
  <c r="AU8" i="19" s="1"/>
  <c r="AO8" i="19"/>
  <c r="AK8" i="19"/>
  <c r="AJ8" i="19"/>
  <c r="AE8" i="19"/>
  <c r="AF8" i="19" s="1"/>
  <c r="AG8" i="19" s="1"/>
  <c r="W8" i="19"/>
  <c r="V8" i="19"/>
  <c r="Q8" i="19"/>
  <c r="O8" i="19"/>
  <c r="I8" i="19"/>
  <c r="AY7" i="19"/>
  <c r="AT7" i="19"/>
  <c r="AU7" i="19" s="1"/>
  <c r="AO7" i="19"/>
  <c r="AK7" i="19"/>
  <c r="AJ7" i="19"/>
  <c r="AE7" i="19"/>
  <c r="AF7" i="19" s="1"/>
  <c r="W7" i="19"/>
  <c r="V7" i="19"/>
  <c r="Q7" i="19"/>
  <c r="BA7" i="19" s="1"/>
  <c r="O7" i="19"/>
  <c r="I7" i="19"/>
  <c r="BA6" i="19"/>
  <c r="AY6" i="19"/>
  <c r="AT6" i="19"/>
  <c r="AU6" i="19" s="1"/>
  <c r="AM6" i="19"/>
  <c r="AM60" i="19" s="1"/>
  <c r="AK6" i="19"/>
  <c r="AE6" i="19"/>
  <c r="AF6" i="19" s="1"/>
  <c r="W6" i="19"/>
  <c r="V6" i="19"/>
  <c r="Q6" i="19"/>
  <c r="O6" i="19"/>
  <c r="I6" i="19"/>
  <c r="AY5" i="19"/>
  <c r="AT5" i="19"/>
  <c r="AU5" i="19" s="1"/>
  <c r="AO5" i="19"/>
  <c r="AK5" i="19"/>
  <c r="AJ5" i="19"/>
  <c r="AE5" i="19"/>
  <c r="AF5" i="19" s="1"/>
  <c r="AG5" i="19" s="1"/>
  <c r="W5" i="19"/>
  <c r="V5" i="19"/>
  <c r="S5" i="19"/>
  <c r="Q5" i="19"/>
  <c r="BA5" i="19" s="1"/>
  <c r="O5" i="19"/>
  <c r="I5" i="19"/>
  <c r="AY4" i="19"/>
  <c r="AT4" i="19"/>
  <c r="AU4" i="19" s="1"/>
  <c r="AO4" i="19"/>
  <c r="AK4" i="19"/>
  <c r="AJ4" i="19"/>
  <c r="AE4" i="19"/>
  <c r="AF4" i="19" s="1"/>
  <c r="W4" i="19"/>
  <c r="V4" i="19"/>
  <c r="Q4" i="19"/>
  <c r="R4" i="19" s="1"/>
  <c r="O4" i="19"/>
  <c r="I4" i="19"/>
  <c r="X4" i="19" l="1"/>
  <c r="Y4" i="19" s="1"/>
  <c r="Z4" i="19" s="1"/>
  <c r="AG7" i="19"/>
  <c r="X9" i="19"/>
  <c r="AB9" i="19" s="1"/>
  <c r="AH9" i="19" s="1"/>
  <c r="AG10" i="19"/>
  <c r="X6" i="19"/>
  <c r="Y6" i="19" s="1"/>
  <c r="AA6" i="19" s="1"/>
  <c r="BA4" i="19"/>
  <c r="AF60" i="19"/>
  <c r="AG4" i="19"/>
  <c r="AA4" i="19"/>
  <c r="AB6" i="19"/>
  <c r="AH6" i="19" s="1"/>
  <c r="R8" i="19"/>
  <c r="R9" i="19"/>
  <c r="R10" i="19"/>
  <c r="R11" i="19"/>
  <c r="R5" i="19"/>
  <c r="R6" i="19"/>
  <c r="AO6" i="19"/>
  <c r="AG6" i="19" s="1"/>
  <c r="R7" i="19"/>
  <c r="X8" i="19"/>
  <c r="Y8" i="19" s="1"/>
  <c r="X10" i="19"/>
  <c r="Y10" i="19" s="1"/>
  <c r="X11" i="19"/>
  <c r="Y11" i="19" s="1"/>
  <c r="X7" i="19"/>
  <c r="Y7" i="19" s="1"/>
  <c r="X5" i="19"/>
  <c r="Y5" i="19" s="1"/>
  <c r="AA5" i="19" s="1"/>
  <c r="AJ6" i="19"/>
  <c r="Y9" i="19" l="1"/>
  <c r="Z9" i="19" s="1"/>
  <c r="AB5" i="19"/>
  <c r="AH5" i="19" s="1"/>
  <c r="AL4" i="19"/>
  <c r="AB4" i="19"/>
  <c r="AH4" i="19" s="1"/>
  <c r="AB11" i="19"/>
  <c r="AH11" i="19" s="1"/>
  <c r="Z6" i="19"/>
  <c r="AL6" i="19"/>
  <c r="AB7" i="19"/>
  <c r="AH7" i="19" s="1"/>
  <c r="AA10" i="19"/>
  <c r="AL10" i="19"/>
  <c r="Z10" i="19"/>
  <c r="AL8" i="19"/>
  <c r="AA8" i="19"/>
  <c r="Z8" i="19"/>
  <c r="AA7" i="19"/>
  <c r="Z7" i="19"/>
  <c r="AL7" i="19"/>
  <c r="AA11" i="19"/>
  <c r="AL11" i="19"/>
  <c r="Z11" i="19"/>
  <c r="Z5" i="19"/>
  <c r="AL5" i="19"/>
  <c r="AB10" i="19"/>
  <c r="AH10" i="19" s="1"/>
  <c r="AB8" i="19"/>
  <c r="AH8" i="19" s="1"/>
  <c r="AA9" i="19" l="1"/>
  <c r="AL9" i="19"/>
  <c r="BA10" i="16" l="1"/>
  <c r="AY10" i="16"/>
  <c r="AT10" i="16"/>
  <c r="AU10" i="16" s="1"/>
  <c r="AO10" i="16"/>
  <c r="AK10" i="16"/>
  <c r="AJ10" i="16"/>
  <c r="AE10" i="16"/>
  <c r="AF10" i="16" s="1"/>
  <c r="AG10" i="16" s="1"/>
  <c r="W10" i="16"/>
  <c r="V10" i="16"/>
  <c r="Q10" i="16"/>
  <c r="R10" i="16" s="1"/>
  <c r="O10" i="16"/>
  <c r="I10" i="16"/>
  <c r="BA9" i="16"/>
  <c r="AX9" i="16"/>
  <c r="AY9" i="16" s="1"/>
  <c r="AT9" i="16"/>
  <c r="AU9" i="16" s="1"/>
  <c r="AO9" i="16"/>
  <c r="AK9" i="16"/>
  <c r="AJ9" i="16"/>
  <c r="AE9" i="16"/>
  <c r="AF9" i="16" s="1"/>
  <c r="W9" i="16"/>
  <c r="V9" i="16"/>
  <c r="Q9" i="16"/>
  <c r="R9" i="16" s="1"/>
  <c r="O9" i="16"/>
  <c r="I9" i="16"/>
  <c r="BA8" i="16"/>
  <c r="AY8" i="16"/>
  <c r="AT8" i="16"/>
  <c r="AU8" i="16" s="1"/>
  <c r="AO8" i="16"/>
  <c r="AK8" i="16"/>
  <c r="AJ8" i="16"/>
  <c r="AE8" i="16"/>
  <c r="AF8" i="16" s="1"/>
  <c r="AG8" i="16" s="1"/>
  <c r="W8" i="16"/>
  <c r="V8" i="16"/>
  <c r="S8" i="16"/>
  <c r="Q8" i="16"/>
  <c r="O8" i="16"/>
  <c r="I8" i="16"/>
  <c r="BA7" i="16"/>
  <c r="AX7" i="16"/>
  <c r="AY7" i="16" s="1"/>
  <c r="AT7" i="16"/>
  <c r="AU7" i="16" s="1"/>
  <c r="AO7" i="16"/>
  <c r="AK7" i="16"/>
  <c r="AJ7" i="16"/>
  <c r="AE7" i="16"/>
  <c r="AF7" i="16" s="1"/>
  <c r="AG7" i="16" s="1"/>
  <c r="W7" i="16"/>
  <c r="V7" i="16"/>
  <c r="Q7" i="16"/>
  <c r="R7" i="16" s="1"/>
  <c r="O7" i="16"/>
  <c r="I7" i="16"/>
  <c r="AY6" i="16"/>
  <c r="AT6" i="16"/>
  <c r="AU6" i="16" s="1"/>
  <c r="AO6" i="16"/>
  <c r="AK6" i="16"/>
  <c r="AJ6" i="16"/>
  <c r="AE6" i="16"/>
  <c r="AF6" i="16" s="1"/>
  <c r="AG6" i="16" s="1"/>
  <c r="W6" i="16"/>
  <c r="V6" i="16"/>
  <c r="Q6" i="16"/>
  <c r="O6" i="16"/>
  <c r="I6" i="16"/>
  <c r="BA5" i="16"/>
  <c r="AY5" i="16"/>
  <c r="AT5" i="16"/>
  <c r="AU5" i="16" s="1"/>
  <c r="AM5" i="16"/>
  <c r="AO5" i="16" s="1"/>
  <c r="AK5" i="16"/>
  <c r="AE5" i="16"/>
  <c r="AF5" i="16" s="1"/>
  <c r="W5" i="16"/>
  <c r="V5" i="16"/>
  <c r="Q5" i="16"/>
  <c r="R5" i="16" s="1"/>
  <c r="O5" i="16"/>
  <c r="I5" i="16"/>
  <c r="BA4" i="16"/>
  <c r="AY4" i="16"/>
  <c r="AT4" i="16"/>
  <c r="AU4" i="16" s="1"/>
  <c r="AO4" i="16"/>
  <c r="AK4" i="16"/>
  <c r="AJ4" i="16"/>
  <c r="AE4" i="16"/>
  <c r="AF4" i="16" s="1"/>
  <c r="AG4" i="16" s="1"/>
  <c r="W4" i="16"/>
  <c r="V4" i="16"/>
  <c r="S4" i="16"/>
  <c r="Q4" i="16"/>
  <c r="R4" i="16" s="1"/>
  <c r="O4" i="16"/>
  <c r="I4" i="16"/>
  <c r="AY3" i="16"/>
  <c r="AT3" i="16"/>
  <c r="AU3" i="16" s="1"/>
  <c r="AO3" i="16"/>
  <c r="AK3" i="16"/>
  <c r="AJ3" i="16"/>
  <c r="AE3" i="16"/>
  <c r="AF3" i="16" s="1"/>
  <c r="W3" i="16"/>
  <c r="V3" i="16"/>
  <c r="Q3" i="16"/>
  <c r="R3" i="16" s="1"/>
  <c r="O3" i="16"/>
  <c r="I3" i="16"/>
  <c r="AG3" i="16" l="1"/>
  <c r="AG9" i="16"/>
  <c r="BA3" i="16"/>
  <c r="X8" i="16"/>
  <c r="X7" i="16"/>
  <c r="Y7" i="16" s="1"/>
  <c r="Z7" i="16" s="1"/>
  <c r="AJ5" i="16"/>
  <c r="X6" i="16"/>
  <c r="AB6" i="16" s="1"/>
  <c r="AH6" i="16" s="1"/>
  <c r="AG5" i="16"/>
  <c r="X9" i="16"/>
  <c r="Y9" i="16" s="1"/>
  <c r="AA9" i="16" s="1"/>
  <c r="X10" i="16"/>
  <c r="Y10" i="16" s="1"/>
  <c r="Z10" i="16" s="1"/>
  <c r="R6" i="16"/>
  <c r="BA6" i="16"/>
  <c r="AL7" i="16"/>
  <c r="AB8" i="16"/>
  <c r="AH8" i="16" s="1"/>
  <c r="X4" i="16"/>
  <c r="Y4" i="16" s="1"/>
  <c r="Y6" i="16"/>
  <c r="Y8" i="16"/>
  <c r="AA8" i="16" s="1"/>
  <c r="X5" i="16"/>
  <c r="AB5" i="16" s="1"/>
  <c r="AH5" i="16" s="1"/>
  <c r="AB7" i="16"/>
  <c r="AH7" i="16" s="1"/>
  <c r="X3" i="16"/>
  <c r="AB3" i="16" s="1"/>
  <c r="AH3" i="16" s="1"/>
  <c r="R8" i="16"/>
  <c r="AA7" i="16" l="1"/>
  <c r="AB9" i="16"/>
  <c r="AH9" i="16" s="1"/>
  <c r="AA10" i="16"/>
  <c r="Z9" i="16"/>
  <c r="AL9" i="16"/>
  <c r="AL10" i="16"/>
  <c r="AB10" i="16"/>
  <c r="AH10" i="16" s="1"/>
  <c r="AB4" i="16"/>
  <c r="AH4" i="16" s="1"/>
  <c r="AL4" i="16"/>
  <c r="Z4" i="16"/>
  <c r="AA4" i="16"/>
  <c r="Y3" i="16"/>
  <c r="Y5" i="16"/>
  <c r="AL8" i="16"/>
  <c r="Z8" i="16"/>
  <c r="Z6" i="16"/>
  <c r="AL6" i="16"/>
  <c r="AA6" i="16"/>
  <c r="AL3" i="16" l="1"/>
  <c r="AA3" i="16"/>
  <c r="Z3" i="16"/>
  <c r="Z5" i="16"/>
  <c r="AL5" i="16"/>
  <c r="AA5" i="16"/>
  <c r="D57" i="4" l="1"/>
  <c r="D60" i="4" l="1"/>
  <c r="D58" i="4"/>
  <c r="D56" i="4"/>
  <c r="D59" i="4"/>
  <c r="D55" i="4"/>
  <c r="D54" i="4"/>
  <c r="D33" i="3" l="1"/>
  <c r="D34" i="3" s="1"/>
  <c r="E59" i="4"/>
  <c r="E58" i="4"/>
  <c r="E56" i="4"/>
  <c r="E55" i="4"/>
  <c r="E54" i="4"/>
  <c r="E57" i="4"/>
  <c r="D30" i="4" l="1"/>
  <c r="D48" i="4" s="1"/>
  <c r="D14" i="4"/>
  <c r="D49" i="4" l="1"/>
  <c r="D61" i="4" s="1"/>
  <c r="E6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Tyler Cikaluk</author>
  </authors>
  <commentList>
    <comment ref="G4" authorId="0" shapeId="0" xr:uid="{7547190A-6372-4551-AF31-18ED8DB10E50}">
      <text>
        <r>
          <rPr>
            <b/>
            <sz val="9"/>
            <color indexed="81"/>
            <rFont val="Tahoma"/>
            <family val="2"/>
          </rPr>
          <t>Tyler Cikaluk:</t>
        </r>
        <r>
          <rPr>
            <sz val="9"/>
            <color indexed="81"/>
            <rFont val="Tahoma"/>
            <family val="2"/>
          </rPr>
          <t xml:space="preserve">
Sale prices were obtained from Alberta Land Titles System - SPIN2: https://alta.registries.gov.ab.ca/spinii/logon.aspx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Tyler Cikaluk</author>
    <author>tc={A1EC9BBF-260D-4E02-A697-AF92875043BC}</author>
    <author>tc={4B75DC80-A268-4B1D-8986-68E6E02ABDF1}</author>
    <author>tc={21174C79-19F9-43DC-BA73-83D4055F2D5B}</author>
    <author>tc={94B0AFB6-3A3A-444D-ACA2-0DF302CB5ABA}</author>
    <author>tc={48393857-62A5-43C7-B04C-095B43690652}</author>
    <author>tc={6EA348D8-09F4-43B9-84A1-ABF4232974A6}</author>
    <author>tc={B4C34EFA-0B1E-417F-A24B-2C1C16D552D7}</author>
    <author>tc={EDF8B4C2-5C1F-42EF-8A2F-A83517CF889A}</author>
    <author>tc={748950C5-EA40-4862-AD5F-9E9A0AECB200}</author>
    <author>tc={2B601436-9E39-4181-B49F-9914D5F326B5}</author>
    <author>tc={F069B62E-A77A-40A8-A3B6-2AA16ECF51C2}</author>
    <author>tc={4D1FF035-0342-4076-A5CA-93F2D2683FEA}</author>
    <author>tc={DDD26655-254B-444E-B41F-73C5F62CF86B}</author>
    <author>tc={A027777C-36BE-4F9B-8AB9-7B09D437AFC3}</author>
    <author>tc={5D640889-87FB-40DE-B50D-EC656DD8C14F}</author>
    <author>tc={4765B49C-094F-4354-B971-D2D0C3AEBA84}</author>
  </authors>
  <commentList>
    <comment ref="B2" authorId="0" shapeId="0" xr:uid="{2CCDB0E8-1368-4421-B612-ED219B328382}">
      <text>
        <r>
          <rPr>
            <b/>
            <sz val="9"/>
            <color indexed="81"/>
            <rFont val="Tahoma"/>
            <family val="2"/>
          </rPr>
          <t>Tyler Cikaluk:</t>
        </r>
        <r>
          <rPr>
            <sz val="9"/>
            <color indexed="81"/>
            <rFont val="Tahoma"/>
            <family val="2"/>
          </rPr>
          <t xml:space="preserve">
Cochrane Properties to never exceed 75% LTC per agreement with Entity One. See comments below on cochrane properties</t>
        </r>
      </text>
    </comment>
    <comment ref="AI10" authorId="1" shapeId="0" xr:uid="{A1EC9BBF-260D-4E02-A697-AF92875043BC}">
      <text>
        <t>[Threaded comment]
Your version of Excel allows you to read this threaded comment; however, any edits to it will get removed if the file is opened in a newer version of Excel. Learn more: https://go.microsoft.com/fwlink/?linkid=870924
Comment:
    Last progress inspection as of December 14, 2020 indicates 98.8% complete. Property has been advanced on based on 100% completion</t>
      </text>
    </comment>
    <comment ref="H12" authorId="2" shapeId="0" xr:uid="{4B75DC80-A268-4B1D-8986-68E6E02ABDF1}">
      <text>
        <t>[Threaded comment]
Your version of Excel allows you to read this threaded comment; however, any edits to it will get removed if the file is opened in a newer version of Excel. Learn more: https://go.microsoft.com/fwlink/?linkid=870924
Comment:
    Notified on October 9, 2020 that the purchaser had to walk away from the sale and their 15% deposit as a result of loss of employment due to COVID-19</t>
      </text>
    </comment>
    <comment ref="P14" authorId="3" shapeId="0" xr:uid="{21174C79-19F9-43DC-BA73-83D4055F2D5B}">
      <text>
        <t>[Threaded comment]
Your version of Excel allows you to read this threaded comment; however, any edits to it will get removed if the file is opened in a newer version of Excel. Learn more: https://go.microsoft.com/fwlink/?linkid=870924
Comment:
    Appraised Value: $571,200
Listing Value - July 15, 2020: $539,900</t>
      </text>
    </comment>
    <comment ref="H15" authorId="4" shapeId="0" xr:uid="{94B0AFB6-3A3A-444D-ACA2-0DF302CB5ABA}">
      <text>
        <t>[Threaded comment]
Your version of Excel allows you to read this threaded comment; however, any edits to it will get removed if the file is opened in a newer version of Excel. Learn more: https://go.microsoft.com/fwlink/?linkid=870924
Comment:
    Pre-sold status awarded even though a 10% deposit/financing letter from bank was not received on this sale. Sale closes in early to mid April and UW is to closely monitor the closing of this sale. If it does not close on time or falls through, UW to reduce leverage and take a higher payout on another unit closing or a reduced future advance.</t>
      </text>
    </comment>
    <comment ref="P16" authorId="5" shapeId="0" xr:uid="{48393857-62A5-43C7-B04C-095B43690652}">
      <text>
        <t>[Threaded comment]
Your version of Excel allows you to read this threaded comment; however, any edits to it will get removed if the file is opened in a newer version of Excel. Learn more: https://go.microsoft.com/fwlink/?linkid=870924
Comment:
    Appraised Value: $576,450
Listing Value - July 15, 2020: $539,900</t>
      </text>
    </comment>
    <comment ref="AI16" authorId="6" shapeId="0" xr:uid="{6EA348D8-09F4-43B9-84A1-ABF4232974A6}">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P17" authorId="7" shapeId="0" xr:uid="{B4C34EFA-0B1E-417F-A24B-2C1C16D552D7}">
      <text>
        <t>[Threaded comment]
Your version of Excel allows you to read this threaded comment; however, any edits to it will get removed if the file is opened in a newer version of Excel. Learn more: https://go.microsoft.com/fwlink/?linkid=870924
Comment:
    Appraised Value: $571,200
Listing Value - July 15, 2020: $539,900</t>
      </text>
    </comment>
    <comment ref="AI17" authorId="8" shapeId="0" xr:uid="{EDF8B4C2-5C1F-42EF-8A2F-A83517CF889A}">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P18" authorId="9" shapeId="0" xr:uid="{748950C5-EA40-4862-AD5F-9E9A0AECB200}">
      <text>
        <t>[Threaded comment]
Your version of Excel allows you to read this threaded comment; however, any edits to it will get removed if the file is opened in a newer version of Excel. Learn more: https://go.microsoft.com/fwlink/?linkid=870924
Comment:
    Appraised Value: $576,450
Listing Value - July 15, 2020: $539,900</t>
      </text>
    </comment>
    <comment ref="AI18" authorId="10" shapeId="0" xr:uid="{2B601436-9E39-4181-B49F-9914D5F326B5}">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AI19" authorId="11" shapeId="0" xr:uid="{F069B62E-A77A-40A8-A3B6-2AA16ECF51C2}">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AI20" authorId="12" shapeId="0" xr:uid="{4D1FF035-0342-4076-A5CA-93F2D2683FEA}">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AI21" authorId="13" shapeId="0" xr:uid="{DDD26655-254B-444E-B41F-73C5F62CF86B}">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X23" authorId="14" shapeId="0" xr:uid="{A027777C-36BE-4F9B-8AB9-7B09D437AFC3}">
      <text>
        <t>[Threaded comment]
Your version of Excel allows you to read this threaded comment; however, any edits to it will get removed if the file is opened in a newer version of Excel. Learn more: https://go.microsoft.com/fwlink/?linkid=870924
Comment:
    Construction financing maximum value in Chestermere limited to $800K per commitment letter terms</t>
      </text>
    </comment>
    <comment ref="P24" authorId="15" shapeId="0" xr:uid="{5D640889-87FB-40DE-B50D-EC656DD8C14F}">
      <text>
        <t>[Threaded comment]
Your version of Excel allows you to read this threaded comment; however, any edits to it will get removed if the file is opened in a newer version of Excel. Learn more: https://go.microsoft.com/fwlink/?linkid=870924
Comment:
    does not contemplate change orders</t>
      </text>
    </comment>
    <comment ref="AV24" authorId="16" shapeId="0" xr:uid="{4765B49C-094F-4354-B971-D2D0C3AEBA84}">
      <text>
        <t>[Threaded comment]
Your version of Excel allows you to read this threaded comment; however, any edits to it will get removed if the file is opened in a newer version of Excel. Learn more: https://go.microsoft.com/fwlink/?linkid=870924
Comment:
    including change orders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Tyler Cikaluk</author>
    <author>tc={E6347743-3C55-4401-A63E-0D8B6F94A423}</author>
    <author>tc={013A4960-9809-4857-87F5-9ECCA91A5EC7}</author>
    <author>tc={AC03A5EB-D92F-4314-84AE-74B7E011307C}</author>
    <author>tc={561F104C-672F-4C71-BDE3-86C1D56D0B76}</author>
    <author>tc={0424C3F4-67C7-4C74-A808-8F7DC3FB4119}</author>
    <author>tc={B756DF26-1026-480F-9F41-EB7CF8B2519F}</author>
    <author>tc={6439F929-55B2-41C9-95B1-57E7B59446B0}</author>
    <author>tc={C9C9C3C0-F64E-4376-A153-4899790CC2C9}</author>
    <author>tc={83E5BAC8-497B-41BA-8888-72C8D64F7131}</author>
    <author>tc={C70131CE-00C3-4A78-9A88-0447EF669758}</author>
    <author>tc={CE762B0A-3B19-4DEA-8749-FE5C3E22D4FA}</author>
    <author>tc={9DADE8CE-EF2E-438B-958C-480F60F837BB}</author>
    <author>tc={500FD2E0-32A7-49B6-891E-52128693EB8B}</author>
    <author>tc={DF8CA7B2-5FA7-4D10-AF7A-E452A2488873}</author>
    <author>tc={F340801A-FB1E-450B-85AD-E8B0D8806DBA}</author>
    <author>tc={B75AAED4-F822-48E8-8631-731B8A67A57A}</author>
  </authors>
  <commentList>
    <comment ref="B3" authorId="0" shapeId="0" xr:uid="{0904F714-9ADC-4AA0-B3C0-28E3932207EB}">
      <text>
        <r>
          <rPr>
            <b/>
            <sz val="9"/>
            <color indexed="81"/>
            <rFont val="Tahoma"/>
            <family val="2"/>
          </rPr>
          <t>Tyler Cikaluk:</t>
        </r>
        <r>
          <rPr>
            <sz val="9"/>
            <color indexed="81"/>
            <rFont val="Tahoma"/>
            <family val="2"/>
          </rPr>
          <t xml:space="preserve">
Cochrane Properties to never exceed 75% LTC per agreement with Entity One. See comments below on cochrane properties</t>
        </r>
      </text>
    </comment>
    <comment ref="AI11" authorId="1" shapeId="0" xr:uid="{E6347743-3C55-4401-A63E-0D8B6F94A423}">
      <text>
        <t>[Threaded comment]
Your version of Excel allows you to read this threaded comment; however, any edits to it will get removed if the file is opened in a newer version of Excel. Learn more: https://go.microsoft.com/fwlink/?linkid=870924
Comment:
    Last progress inspection as of December 14, 2020 indicates 98.8% complete. Property has been advanced on based on 100% completion</t>
      </text>
    </comment>
    <comment ref="H13" authorId="2" shapeId="0" xr:uid="{013A4960-9809-4857-87F5-9ECCA91A5EC7}">
      <text>
        <t>[Threaded comment]
Your version of Excel allows you to read this threaded comment; however, any edits to it will get removed if the file is opened in a newer version of Excel. Learn more: https://go.microsoft.com/fwlink/?linkid=870924
Comment:
    Notified on October 9, 2020 that the purchaser had to walk away from the sale and their 15% deposit as a result of loss of employment due to COVID-19</t>
      </text>
    </comment>
    <comment ref="P15" authorId="3" shapeId="0" xr:uid="{AC03A5EB-D92F-4314-84AE-74B7E011307C}">
      <text>
        <t>[Threaded comment]
Your version of Excel allows you to read this threaded comment; however, any edits to it will get removed if the file is opened in a newer version of Excel. Learn more: https://go.microsoft.com/fwlink/?linkid=870924
Comment:
    Appraised Value: $571,200
Listing Value - July 15, 2020: $539,900</t>
      </text>
    </comment>
    <comment ref="H16" authorId="4" shapeId="0" xr:uid="{561F104C-672F-4C71-BDE3-86C1D56D0B76}">
      <text>
        <t>[Threaded comment]
Your version of Excel allows you to read this threaded comment; however, any edits to it will get removed if the file is opened in a newer version of Excel. Learn more: https://go.microsoft.com/fwlink/?linkid=870924
Comment:
    Pre-sold status awarded even though a 10% deposit/financing letter from bank was not received on this sale. Sale closes in early to mid April and UW is to closely monitor the closing of this sale. If it does not close on time or falls through, UW to reduce leverage and take a higher payout on another unit closing or a reduced future advance.</t>
      </text>
    </comment>
    <comment ref="P17" authorId="5" shapeId="0" xr:uid="{0424C3F4-67C7-4C74-A808-8F7DC3FB4119}">
      <text>
        <t>[Threaded comment]
Your version of Excel allows you to read this threaded comment; however, any edits to it will get removed if the file is opened in a newer version of Excel. Learn more: https://go.microsoft.com/fwlink/?linkid=870924
Comment:
    Appraised Value: $576,450
Listing Value - July 15, 2020: $539,900</t>
      </text>
    </comment>
    <comment ref="AI17" authorId="6" shapeId="0" xr:uid="{B756DF26-1026-480F-9F41-EB7CF8B2519F}">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P18" authorId="7" shapeId="0" xr:uid="{6439F929-55B2-41C9-95B1-57E7B59446B0}">
      <text>
        <t>[Threaded comment]
Your version of Excel allows you to read this threaded comment; however, any edits to it will get removed if the file is opened in a newer version of Excel. Learn more: https://go.microsoft.com/fwlink/?linkid=870924
Comment:
    Appraised Value: $571,200
Listing Value - July 15, 2020: $539,900</t>
      </text>
    </comment>
    <comment ref="AI18" authorId="8" shapeId="0" xr:uid="{C9C9C3C0-F64E-4376-A153-4899790CC2C9}">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P19" authorId="9" shapeId="0" xr:uid="{83E5BAC8-497B-41BA-8888-72C8D64F7131}">
      <text>
        <t>[Threaded comment]
Your version of Excel allows you to read this threaded comment; however, any edits to it will get removed if the file is opened in a newer version of Excel. Learn more: https://go.microsoft.com/fwlink/?linkid=870924
Comment:
    Appraised Value: $576,450
Listing Value - July 15, 2020: $539,900</t>
      </text>
    </comment>
    <comment ref="AI19" authorId="10" shapeId="0" xr:uid="{C70131CE-00C3-4A78-9A88-0447EF669758}">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AI20" authorId="11" shapeId="0" xr:uid="{CE762B0A-3B19-4DEA-8749-FE5C3E22D4FA}">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AI21" authorId="12" shapeId="0" xr:uid="{9DADE8CE-EF2E-438B-958C-480F60F837BB}">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AI22" authorId="13" shapeId="0" xr:uid="{500FD2E0-32A7-49B6-891E-52128693EB8B}">
      <text>
        <t>[Threaded comment]
Your version of Excel allows you to read this threaded comment; however, any edits to it will get removed if the file is opened in a newer version of Excel. Learn more: https://go.microsoft.com/fwlink/?linkid=870924
Comment:
    Funded based on 100% completion</t>
      </text>
    </comment>
    <comment ref="X24" authorId="14" shapeId="0" xr:uid="{DF8CA7B2-5FA7-4D10-AF7A-E452A2488873}">
      <text>
        <t>[Threaded comment]
Your version of Excel allows you to read this threaded comment; however, any edits to it will get removed if the file is opened in a newer version of Excel. Learn more: https://go.microsoft.com/fwlink/?linkid=870924
Comment:
    Construction financing maximum value in Chestermere limited to $800K per commitment letter terms</t>
      </text>
    </comment>
    <comment ref="P25" authorId="15" shapeId="0" xr:uid="{F340801A-FB1E-450B-85AD-E8B0D8806DBA}">
      <text>
        <t>[Threaded comment]
Your version of Excel allows you to read this threaded comment; however, any edits to it will get removed if the file is opened in a newer version of Excel. Learn more: https://go.microsoft.com/fwlink/?linkid=870924
Comment:
    does not contemplate change orders</t>
      </text>
    </comment>
    <comment ref="AV25" authorId="16" shapeId="0" xr:uid="{B75AAED4-F822-48E8-8631-731B8A67A57A}">
      <text>
        <t>[Threaded comment]
Your version of Excel allows you to read this threaded comment; however, any edits to it will get removed if the file is opened in a newer version of Excel. Learn more: https://go.microsoft.com/fwlink/?linkid=870924
Comment:
    including change orders</t>
      </text>
    </comment>
  </commentList>
</comments>
</file>

<file path=xl/sharedStrings.xml><?xml version="1.0" encoding="utf-8"?>
<sst xmlns="http://schemas.openxmlformats.org/spreadsheetml/2006/main" count="1208" uniqueCount="395">
  <si>
    <t>Presold</t>
  </si>
  <si>
    <t>Hard coded values</t>
  </si>
  <si>
    <t>sq.ft. per m2</t>
  </si>
  <si>
    <t>SECTION 1: PROPERTY DETAILS</t>
  </si>
  <si>
    <t>Plan</t>
  </si>
  <si>
    <t>#</t>
  </si>
  <si>
    <t>Block</t>
  </si>
  <si>
    <t>Lot</t>
  </si>
  <si>
    <t>Link to Map</t>
  </si>
  <si>
    <t>Neighbourhood</t>
  </si>
  <si>
    <t>Price Range in Neighbourhood</t>
  </si>
  <si>
    <t>$</t>
  </si>
  <si>
    <t>Year Built</t>
  </si>
  <si>
    <t xml:space="preserve">Site Area </t>
  </si>
  <si>
    <t>m2</t>
  </si>
  <si>
    <t>Site Area</t>
  </si>
  <si>
    <t>sq. ft.</t>
  </si>
  <si>
    <t>Floor area above grade</t>
  </si>
  <si>
    <t>Tax-Assessed Value (Land)</t>
  </si>
  <si>
    <t>Appraised Land Value</t>
  </si>
  <si>
    <t>Land Cost</t>
  </si>
  <si>
    <t xml:space="preserve">Land Internal Value </t>
  </si>
  <si>
    <t>Value Per Front Foot</t>
  </si>
  <si>
    <t>$ pff</t>
  </si>
  <si>
    <t>.</t>
  </si>
  <si>
    <t>"As Complete" Appraised Value</t>
  </si>
  <si>
    <t>Unit Price - Appraised Value</t>
  </si>
  <si>
    <t>$ psf</t>
  </si>
  <si>
    <t>Internal Value</t>
  </si>
  <si>
    <t>GST (5%)</t>
  </si>
  <si>
    <t>Value Pre-Tax</t>
  </si>
  <si>
    <t>Unit Price - Internal Value</t>
  </si>
  <si>
    <t>List Price</t>
  </si>
  <si>
    <t>Unit Price - Presale Price</t>
  </si>
  <si>
    <t>Total Construction Costs (Excluding Land)</t>
  </si>
  <si>
    <t>Total Construction Costs (With Land)</t>
  </si>
  <si>
    <t>Construction Cost</t>
  </si>
  <si>
    <t>Calgary</t>
  </si>
  <si>
    <t>&lt; Insert Rows Above &gt;</t>
  </si>
  <si>
    <t>$nil</t>
  </si>
  <si>
    <t>Deck</t>
  </si>
  <si>
    <t>Source</t>
  </si>
  <si>
    <t>Civic Address - If Known</t>
  </si>
  <si>
    <t xml:space="preserve">Plan </t>
  </si>
  <si>
    <t>Legal Block</t>
  </si>
  <si>
    <t>Legal Lot</t>
  </si>
  <si>
    <t>Sale Price</t>
  </si>
  <si>
    <t>Zoning</t>
  </si>
  <si>
    <t>Sale Date</t>
  </si>
  <si>
    <t>Frotage (M)</t>
  </si>
  <si>
    <t>Depth(M)</t>
  </si>
  <si>
    <t>Frotage (F)</t>
  </si>
  <si>
    <t xml:space="preserve">Build Pocket </t>
  </si>
  <si>
    <t>Depth(F)</t>
  </si>
  <si>
    <t>Square feet</t>
  </si>
  <si>
    <t>Cost per ff</t>
  </si>
  <si>
    <t>Cost per build pocket</t>
  </si>
  <si>
    <t>Price per square foot</t>
  </si>
  <si>
    <t>Notes</t>
  </si>
  <si>
    <t>Subject</t>
  </si>
  <si>
    <t xml:space="preserve">Average </t>
  </si>
  <si>
    <t>Per Sqf</t>
  </si>
  <si>
    <t>Per FF</t>
  </si>
  <si>
    <t>Min</t>
  </si>
  <si>
    <t>25th Percentile</t>
  </si>
  <si>
    <t>Median</t>
  </si>
  <si>
    <t>Average</t>
  </si>
  <si>
    <t>75th Percentile</t>
  </si>
  <si>
    <t>Max</t>
  </si>
  <si>
    <t>SD</t>
  </si>
  <si>
    <t>Internal value</t>
  </si>
  <si>
    <t>Lot Size</t>
  </si>
  <si>
    <t>Lot Internal Value</t>
  </si>
  <si>
    <t>Comparable Property #</t>
  </si>
  <si>
    <t>Subject Property</t>
  </si>
  <si>
    <t>Address</t>
  </si>
  <si>
    <t>HD</t>
  </si>
  <si>
    <t>Price</t>
  </si>
  <si>
    <t>List Price / Sale Price</t>
  </si>
  <si>
    <t>Builder</t>
  </si>
  <si>
    <t>Unadjusted Unit Price (sq. ft.)</t>
  </si>
  <si>
    <t xml:space="preserve">Sale Date </t>
  </si>
  <si>
    <t>Floor Area Above Grade (sq. ft.)</t>
  </si>
  <si>
    <t>Site Size (sq. ft.)</t>
  </si>
  <si>
    <t>Style</t>
  </si>
  <si>
    <t>Single Family</t>
  </si>
  <si>
    <t>Format</t>
  </si>
  <si>
    <t>2 Storey</t>
  </si>
  <si>
    <t>Bedrooms</t>
  </si>
  <si>
    <t>Bathrooms</t>
  </si>
  <si>
    <t>Basement</t>
  </si>
  <si>
    <t>Finished</t>
  </si>
  <si>
    <t>Parking</t>
  </si>
  <si>
    <t>Fireplace</t>
  </si>
  <si>
    <t>Yes</t>
  </si>
  <si>
    <t>Deck/Balcony</t>
  </si>
  <si>
    <t>Appliances</t>
  </si>
  <si>
    <t>Appraised/ List Price</t>
  </si>
  <si>
    <t>Adjustment Year Built</t>
  </si>
  <si>
    <t>Adjustment Format</t>
  </si>
  <si>
    <t>Adjustment Garage</t>
  </si>
  <si>
    <t>Adjustment Bedroom</t>
  </si>
  <si>
    <t>Adjustment Finishing</t>
  </si>
  <si>
    <t>Adjustment Bathroom</t>
  </si>
  <si>
    <t>Adjustment Basement</t>
  </si>
  <si>
    <t>Adjustment Appliances</t>
  </si>
  <si>
    <t>Adjustment Fireplace</t>
  </si>
  <si>
    <t>Adjustment Neighbourhood</t>
  </si>
  <si>
    <t>Adjustment backyard/deck</t>
  </si>
  <si>
    <t>Adjustment Other</t>
  </si>
  <si>
    <t>Total Adjustments</t>
  </si>
  <si>
    <t>Adjusted Price</t>
  </si>
  <si>
    <t>Adjusted Unit Price</t>
  </si>
  <si>
    <t>Internal Valuation - Price per sq. ft.</t>
  </si>
  <si>
    <t>$ Per Sq. Ft.</t>
  </si>
  <si>
    <t>Implied Value</t>
  </si>
  <si>
    <t>Weighted Avg. Unit Price</t>
  </si>
  <si>
    <t>KV $ / sq. ft</t>
  </si>
  <si>
    <t>KV Internal Value</t>
  </si>
  <si>
    <r>
      <rPr>
        <sz val="11"/>
        <color rgb="FF0076C0"/>
        <rFont val="Calibri"/>
        <family val="2"/>
        <scheme val="minor"/>
      </rPr>
      <t>Table A -</t>
    </r>
    <r>
      <rPr>
        <sz val="11"/>
        <color theme="1"/>
        <rFont val="Calibri"/>
        <family val="2"/>
        <scheme val="minor"/>
      </rPr>
      <t xml:space="preserve"> Adjustment Factors</t>
    </r>
  </si>
  <si>
    <t>Bedroom</t>
  </si>
  <si>
    <t>Bathroom</t>
  </si>
  <si>
    <t>Garage Parking</t>
  </si>
  <si>
    <t>Basement Adjustment ($ per Sq. Ft.)</t>
  </si>
  <si>
    <t>Basement Square Feet Estimate</t>
  </si>
  <si>
    <t>Basement Adjustment - Walkout</t>
  </si>
  <si>
    <t>Games Room and Wet Bar</t>
  </si>
  <si>
    <t>Civic Address</t>
  </si>
  <si>
    <t>Plan / Condominium Plan</t>
  </si>
  <si>
    <t>Block/Unit</t>
  </si>
  <si>
    <t>Geographical Region</t>
  </si>
  <si>
    <t>% Complete / 
Cost to Complete
("%" or "Cost")</t>
  </si>
  <si>
    <t>Financing Category (Presold vs Speculative)</t>
  </si>
  <si>
    <t>Project Phase (Land, Construction, Completed)</t>
  </si>
  <si>
    <t>Land - Pledged LTC</t>
  </si>
  <si>
    <t>Const. - Pledged LTC</t>
  </si>
  <si>
    <t>Const. - Pledged LTV</t>
  </si>
  <si>
    <t>"As Is" Value - Fully Serviced Lots - Appraised</t>
  </si>
  <si>
    <t>Land Value: Lesser of Cost and Appraised Value</t>
  </si>
  <si>
    <t>"As Complete" Value - for LTV</t>
  </si>
  <si>
    <t>$Value/SQFT</t>
  </si>
  <si>
    <t>Lot Size (SF)</t>
  </si>
  <si>
    <t>Unit Size (SF AG - "as if" built)</t>
  </si>
  <si>
    <t>Construction Costs (Excl. Land)</t>
  </si>
  <si>
    <t>$Const. /SQFT</t>
  </si>
  <si>
    <t>Land Financing</t>
  </si>
  <si>
    <t>Construction Financing</t>
  </si>
  <si>
    <t>Total Committed</t>
  </si>
  <si>
    <t>LTV - Committed</t>
  </si>
  <si>
    <t xml:space="preserve">Overall LTC  - Committed </t>
  </si>
  <si>
    <t>Possible Draw Amount</t>
  </si>
  <si>
    <t>Initial Draw Date</t>
  </si>
  <si>
    <t>Land Draw</t>
  </si>
  <si>
    <t>Construction Draw</t>
  </si>
  <si>
    <t>Total Amount Drawn</t>
  </si>
  <si>
    <t>Net Loan Amount</t>
  </si>
  <si>
    <t>Available Draw Amount</t>
  </si>
  <si>
    <t>Percent Complete</t>
  </si>
  <si>
    <t>Security Value</t>
  </si>
  <si>
    <t>Cost to Complete</t>
  </si>
  <si>
    <t>Unfunded</t>
  </si>
  <si>
    <t>Gross Amount Received</t>
  </si>
  <si>
    <t>Pre-Payment Penalty</t>
  </si>
  <si>
    <t>Net Paydown Amount</t>
  </si>
  <si>
    <t>Payout Statement Date</t>
  </si>
  <si>
    <t>Date Funds Received</t>
  </si>
  <si>
    <t xml:space="preserve">Date Discharge Sent </t>
  </si>
  <si>
    <t>GST</t>
  </si>
  <si>
    <t>Full Price</t>
  </si>
  <si>
    <t>Change Orders</t>
  </si>
  <si>
    <t>Deposit</t>
  </si>
  <si>
    <t>Deposit Percentage of Purchase Price</t>
  </si>
  <si>
    <t>Purchaser</t>
  </si>
  <si>
    <t>Sale Price - Appraised</t>
  </si>
  <si>
    <t>232 Aspenmere Way, Chestermere</t>
  </si>
  <si>
    <t>1513280</t>
  </si>
  <si>
    <t>Chestermere</t>
  </si>
  <si>
    <t>Cost</t>
  </si>
  <si>
    <t>Pre-Sold</t>
  </si>
  <si>
    <t>Louis M Yhap &amp; Bibi S Yhap</t>
  </si>
  <si>
    <t>728 Marina Drive, Chestermere</t>
  </si>
  <si>
    <t>1910205</t>
  </si>
  <si>
    <t>Sukhjeet Singh &amp; Rajandeep Kaur Sandhu</t>
  </si>
  <si>
    <t>732 Marina Drive</t>
  </si>
  <si>
    <t>Dalwinder Bassi and Baljiit Bassi</t>
  </si>
  <si>
    <t>296 Aspenmere Way, Chestermere</t>
  </si>
  <si>
    <t>Arshdeep Singh Badesha &amp; Navkiran Kaur Badesha</t>
  </si>
  <si>
    <t>736 Marina Drive</t>
  </si>
  <si>
    <t>Jobandeep Singh Gill &amp; Amandeep Kaur Gill</t>
  </si>
  <si>
    <t>741 Marina Drive, Chestermere</t>
  </si>
  <si>
    <t>Pre-sold</t>
  </si>
  <si>
    <t>Avtar Sidhu &amp; Jasvir Sidhu</t>
  </si>
  <si>
    <t>729 Marina Drive</t>
  </si>
  <si>
    <t>Gurvir Sidhu</t>
  </si>
  <si>
    <t>744 Marina Drive</t>
  </si>
  <si>
    <t>Speculative</t>
  </si>
  <si>
    <t>Bhawanjot &amp; Sharandeep Grewal</t>
  </si>
  <si>
    <t>317 Aspenmere Way, Chestermere</t>
  </si>
  <si>
    <t>Construction</t>
  </si>
  <si>
    <t>Jasprett Singh Sandhu &amp; Rajwinder Kaur Sandhu</t>
  </si>
  <si>
    <t>488 Muirfield Crescent, Lyalta</t>
  </si>
  <si>
    <t>0811158</t>
  </si>
  <si>
    <t>N/A</t>
  </si>
  <si>
    <t>Rural Alberta</t>
  </si>
  <si>
    <t>Completed</t>
  </si>
  <si>
    <t>Sean Hynes and Joanne Byrne</t>
  </si>
  <si>
    <t>725 Marina Drive</t>
  </si>
  <si>
    <t>Kulbir Singh, Pawanpreet Singh &amp; Bhanwarpreet Singh</t>
  </si>
  <si>
    <t>1512 25 Avenue SW, Calgary</t>
  </si>
  <si>
    <t>2011851</t>
  </si>
  <si>
    <t>Tanya Morahan</t>
  </si>
  <si>
    <t>130 Kinniburgh Crescent</t>
  </si>
  <si>
    <t>1812008</t>
  </si>
  <si>
    <t>Rajwinder Bajwa &amp; Rajkamal Bajwa</t>
  </si>
  <si>
    <t>1510 25 Avenue SW, Calgary</t>
  </si>
  <si>
    <t>Rejish Thomas &amp; Ratika Srivastava</t>
  </si>
  <si>
    <t>1514 25 Avenue SW, Calgary</t>
  </si>
  <si>
    <t>Carson Kotnyek</t>
  </si>
  <si>
    <t>1516 25 Avenue SW, Calgary</t>
  </si>
  <si>
    <t>Rajiv Srivastava</t>
  </si>
  <si>
    <t>40 Waterford Heights</t>
  </si>
  <si>
    <t>Patrick Hanly &amp; Aliya Hanly</t>
  </si>
  <si>
    <t>225 Marina Key</t>
  </si>
  <si>
    <t>Patrick McGrath</t>
  </si>
  <si>
    <t>Pre-sale purchaser mortgage financing approval letter from TD has been obtained</t>
  </si>
  <si>
    <t>229 Marina Key</t>
  </si>
  <si>
    <t>Steven Anthony Douglas</t>
  </si>
  <si>
    <t>733 Marina Drive</t>
  </si>
  <si>
    <t>Alexandra Gingras &amp; Brad Kraus</t>
  </si>
  <si>
    <t>44 Waterford Heights</t>
  </si>
  <si>
    <t>Gulvinder Singh Khosa</t>
  </si>
  <si>
    <t>74 Waterford Road</t>
  </si>
  <si>
    <t>Deepak Lodhia &amp; Chandni Nitin Rama</t>
  </si>
  <si>
    <t>Pre-sale purchaser mortgage financing approval letter has been obtained</t>
  </si>
  <si>
    <t>61 Waterford Road</t>
  </si>
  <si>
    <t>Mavindeep Gill &amp; Sandeep Gill</t>
  </si>
  <si>
    <t>724 Marina Drive</t>
  </si>
  <si>
    <t>Sylvester Francis &amp; Manveen Reen</t>
  </si>
  <si>
    <t>7 North Bridges Road, Langdon</t>
  </si>
  <si>
    <t>Langdon</t>
  </si>
  <si>
    <t>Kathy &amp; John Klassen</t>
  </si>
  <si>
    <t>77 Waterford Road</t>
  </si>
  <si>
    <t>Ami Chandra &amp; Manjula Chandra</t>
  </si>
  <si>
    <t>129 North Bridges Bay, Langdon</t>
  </si>
  <si>
    <t>2011558</t>
  </si>
  <si>
    <t>Sanjeev &amp; Krishna Chavda</t>
  </si>
  <si>
    <t>85 Waterford Road</t>
  </si>
  <si>
    <t>Kamal Bulsara &amp; Jotika Bulsara</t>
  </si>
  <si>
    <t>12 Waterford Heights</t>
  </si>
  <si>
    <t>Angrej Malhi</t>
  </si>
  <si>
    <t>737 Marina Drive</t>
  </si>
  <si>
    <t>Puneet &amp; Yashwinder Matharoo</t>
  </si>
  <si>
    <t>73 Waterford Road</t>
  </si>
  <si>
    <t>Adam Virgo</t>
  </si>
  <si>
    <t>8 Waterford Heights</t>
  </si>
  <si>
    <t>Satbir Sidhu &amp; Manjot Toor</t>
  </si>
  <si>
    <t>97 North Bridges Bay, Langdon</t>
  </si>
  <si>
    <t>Morgan &amp; Christopher Shervey</t>
  </si>
  <si>
    <t>Grandfathered - Mortgage financing approval letter has also been received</t>
  </si>
  <si>
    <t>113 North Bridges Bay, Langdon</t>
  </si>
  <si>
    <t>Dean Davies &amp; Kimberley Davies</t>
  </si>
  <si>
    <t>4 Waterford Heights</t>
  </si>
  <si>
    <t>Kewal Saggu &amp; Balbir Matharu</t>
  </si>
  <si>
    <t>Pre-sale purchaser mortgage financing pre-approval letter has been obtained</t>
  </si>
  <si>
    <t>93 North Bridges Bay, Langdon</t>
  </si>
  <si>
    <t>Mark &amp; Carla Schwartz</t>
  </si>
  <si>
    <t>78 Waterford Road</t>
  </si>
  <si>
    <t>Victor &amp; Sheryl Vicente</t>
  </si>
  <si>
    <t>101 North Bridges Bay, Langdon</t>
  </si>
  <si>
    <t>Carole Campbell</t>
  </si>
  <si>
    <t>81 Waterford Road</t>
  </si>
  <si>
    <t>Michelle Pickard &amp; Brent Pickard</t>
  </si>
  <si>
    <t>28 Waterford Heights</t>
  </si>
  <si>
    <t>Sukhjinder Singh</t>
  </si>
  <si>
    <t>89 North Bridges Bay, Langdon</t>
  </si>
  <si>
    <t>Robert &amp; Jennifer Milne</t>
  </si>
  <si>
    <t>Grandfathered - Deposit of $55K has been received to date. Remaining deposit of $40K to be received February 28, 2022. Total deposit per PSA is $92,991.90.</t>
  </si>
  <si>
    <t>24 Waterford Heights</t>
  </si>
  <si>
    <t>Balwinder Malhi</t>
  </si>
  <si>
    <t>89 Waterford Road</t>
  </si>
  <si>
    <t>Jaswinder Mann &amp; Jaspal Kaur Mann</t>
  </si>
  <si>
    <t>20 Waterford Heights</t>
  </si>
  <si>
    <t>Murtatha Al-Saiedy</t>
  </si>
  <si>
    <t>82 Waterford Road</t>
  </si>
  <si>
    <t>Ajminder Kaur</t>
  </si>
  <si>
    <t>125 Spear Grass Close, Carseland</t>
  </si>
  <si>
    <t>0711421</t>
  </si>
  <si>
    <t>Bonnie &amp; Roy Klatzel</t>
  </si>
  <si>
    <t>16 Waterford Heights</t>
  </si>
  <si>
    <t>Tamer Hammoud and Lamia Akl</t>
  </si>
  <si>
    <t>36 Waterford Heights</t>
  </si>
  <si>
    <t>Harpritt Sohi &amp; Mandip Sohi</t>
  </si>
  <si>
    <t>57 Waterford Road</t>
  </si>
  <si>
    <t>Aftab Shah &amp; Urooj Sheikh</t>
  </si>
  <si>
    <t>65 Waterford Road</t>
  </si>
  <si>
    <t>Kulwant Nijjar and Manjit Nijjar</t>
  </si>
  <si>
    <t>33 Waterford Terrace, Chestermere</t>
  </si>
  <si>
    <t>Ravinder Pelia &amp; Kirandeep Khasria</t>
  </si>
  <si>
    <t>Received mortgage financing pre-approval letter from RBC for borrower dated October 10, 2022</t>
  </si>
  <si>
    <t>168 Sandpiper Landing, Chestermere</t>
  </si>
  <si>
    <t>Narinder Singh &amp; Satwant Kaur</t>
  </si>
  <si>
    <t>41 Waterford Terrace, Chestermere</t>
  </si>
  <si>
    <t>Simranjit Singh Sidhu</t>
  </si>
  <si>
    <t>72 Waterford Terrace, Chestermere</t>
  </si>
  <si>
    <t>Gagandeep Kaur Mann</t>
  </si>
  <si>
    <t>32 Vantage Drive, Cochrane</t>
  </si>
  <si>
    <t>Cochrane</t>
  </si>
  <si>
    <t>Jonah Gilham and Zoe Stein</t>
  </si>
  <si>
    <t>73 North Bridges Bay, Langdon</t>
  </si>
  <si>
    <t>Chris Brown &amp; Kimberly McLellan</t>
  </si>
  <si>
    <t xml:space="preserve">Square Meters </t>
  </si>
  <si>
    <t>$ per sq. ft.</t>
  </si>
  <si>
    <t>Frontage (M)</t>
  </si>
  <si>
    <t>date</t>
  </si>
  <si>
    <t>metres</t>
  </si>
  <si>
    <t>feet</t>
  </si>
  <si>
    <t>111 Belvedere Cresecent</t>
  </si>
  <si>
    <t>91 Belvedere Cresecent</t>
  </si>
  <si>
    <t>87 Belvedere Cresecent</t>
  </si>
  <si>
    <t>79 Belvedere Cresecent</t>
  </si>
  <si>
    <t>75 Belvedere Cresecent</t>
  </si>
  <si>
    <t>71 Belvedere Cresecent</t>
  </si>
  <si>
    <t>CCH Lot</t>
  </si>
  <si>
    <t>151 Belvedere Cresecent</t>
  </si>
  <si>
    <t>147 Belvedere Cresecent</t>
  </si>
  <si>
    <t>211 Belvedere Cresecent</t>
  </si>
  <si>
    <t>207 Belvedere Cresecent</t>
  </si>
  <si>
    <t>203 Belvedere Cresecent</t>
  </si>
  <si>
    <t>119 Belvedere Cresecent</t>
  </si>
  <si>
    <t>??</t>
  </si>
  <si>
    <t>$ Per FF</t>
  </si>
  <si>
    <t xml:space="preserve">Implied Value </t>
  </si>
  <si>
    <t>Sample Variance</t>
  </si>
  <si>
    <t>KV FF</t>
  </si>
  <si>
    <t>No</t>
  </si>
  <si>
    <t xml:space="preserve">Electric </t>
  </si>
  <si>
    <t xml:space="preserve">Unfinished </t>
  </si>
  <si>
    <t xml:space="preserve">Gas </t>
  </si>
  <si>
    <t xml:space="preserve">Legal Suite </t>
  </si>
  <si>
    <t>Adjustment Type</t>
  </si>
  <si>
    <t>Manual</t>
  </si>
  <si>
    <t>Automatic</t>
  </si>
  <si>
    <t>Green Cedar Homes</t>
  </si>
  <si>
    <t>37 Heritage Park</t>
  </si>
  <si>
    <t>97 Heritage Blvd</t>
  </si>
  <si>
    <t>137 Heritage Blvd</t>
  </si>
  <si>
    <t>129 Heritage Blvd</t>
  </si>
  <si>
    <t>109 Heritage Blvd</t>
  </si>
  <si>
    <t>105 Heritage Blvd</t>
  </si>
  <si>
    <t>101 Heritage Blvd</t>
  </si>
  <si>
    <t xml:space="preserve">Brett's Hertiage Hills borrower </t>
  </si>
  <si>
    <t>End lot</t>
  </si>
  <si>
    <t>Bedrock homes bought 5 lots at this price</t>
  </si>
  <si>
    <t>Bedrock homes bought 6 lots at this price</t>
  </si>
  <si>
    <t>2-6</t>
  </si>
  <si>
    <t>43-48</t>
  </si>
  <si>
    <t>3 Heritage Link</t>
  </si>
  <si>
    <t>7-23 Heritage Link</t>
  </si>
  <si>
    <t xml:space="preserve">8-28 Heritage Link </t>
  </si>
  <si>
    <t>8 Vantage Drive</t>
  </si>
  <si>
    <t>20 Quartz Crescent</t>
  </si>
  <si>
    <t>2338 and 2455</t>
  </si>
  <si>
    <t>68 Heritage Ridge, Cochrane AB - For Sale | HonestDoor</t>
  </si>
  <si>
    <t>76 Heritage Ridge, Cochrane AB - For Sale | HonestDoor</t>
  </si>
  <si>
    <t>543 Rivercrest View, Cochrane AB - For Sale | HonestDoor</t>
  </si>
  <si>
    <t xml:space="preserve">Double Attached </t>
  </si>
  <si>
    <t>Canbrook Homes</t>
  </si>
  <si>
    <t>53 Heritage Park</t>
  </si>
  <si>
    <t xml:space="preserve">Very nice lot </t>
  </si>
  <si>
    <t>47 Heritage Heath</t>
  </si>
  <si>
    <t xml:space="preserve">Does not have the open to above ceilings </t>
  </si>
  <si>
    <t xml:space="preserve">116 Heritage Boulveard </t>
  </si>
  <si>
    <t xml:space="preserve">Does not have the open to above ceilings. Legal suite </t>
  </si>
  <si>
    <t>Greystone</t>
  </si>
  <si>
    <t>Heritage Hills</t>
  </si>
  <si>
    <t xml:space="preserve">Backs onto walking path. Greystone </t>
  </si>
  <si>
    <t>Nicer Comps</t>
  </si>
  <si>
    <t xml:space="preserve">Former Green Cedar Showhome. Closing Feb 20. </t>
  </si>
  <si>
    <t>172 Southborough Common</t>
  </si>
  <si>
    <t>Southbow Landing</t>
  </si>
  <si>
    <t>Daytona Homes</t>
  </si>
  <si>
    <t>25 Southborough Square</t>
  </si>
  <si>
    <t>Too Small</t>
  </si>
  <si>
    <t xml:space="preserve">Nice home but faily basic </t>
  </si>
  <si>
    <t>127 Heritage Court</t>
  </si>
  <si>
    <t>Homes by Fifty Six</t>
  </si>
  <si>
    <t>Backs Park like subject</t>
  </si>
  <si>
    <t>Best Comp 1</t>
  </si>
  <si>
    <t>Best Comp 2</t>
  </si>
  <si>
    <t>41 Heritage Park</t>
  </si>
  <si>
    <t>Legal Suite with fire place, walkout lot. Main floor is an extremely odd layout. I cant see access to the garage from the house.</t>
  </si>
  <si>
    <t>CLIENT</t>
  </si>
  <si>
    <t>Internal Value Pre-Tax</t>
  </si>
  <si>
    <t>REALTOR</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</si>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</sst>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Red]\-&quot;$&quot;#,##0"/>
    <numFmt numFmtId="8" formatCode="&quot;$&quot;#,##0.00;[Red]\-&quot;$&quot;#,##0.00"/>
    <numFmt numFmtId="44" formatCode="_-&quot;$&quot;* #,##0.00_-;\-&quot;$&quot;* #,##0.00_-;_-&quot;$&quot;* &quot;-&quot;??_-;_-@_-"/>
    <numFmt numFmtId="43" formatCode="_-* #,##0.00_-;\-* #,##0.00_-;_-* &quot;-&quot;??_-;_-@_-"/>
    <numFmt numFmtId="164" formatCode="&quot;$&quot;#,##0_);[Red]\(&quot;$&quot;#,##0\)"/>
    <numFmt numFmtId="165" formatCode="&quot;$&quot;#,##0.00_);[Red]\(&quot;$&quot;#,##0.00\)"/>
    <numFmt numFmtId="166" formatCode="_(&quot;$&quot;* #,##0.00_);_(&quot;$&quot;* \(#,##0.00\);_(&quot;$&quot;* &quot;-&quot;??_);_(@_)"/>
    <numFmt numFmtId="167" formatCode="_(* #,##0.00_);_(* \(#,##0.00\);_(* &quot;-&quot;??_);_(@_)"/>
    <numFmt numFmtId="168" formatCode="#,##0_ ;[Red]\-#,##0\ "/>
    <numFmt numFmtId="169" formatCode="&quot;$&quot;#,##0.00"/>
    <numFmt numFmtId="170" formatCode="&quot;$&quot;#,##0"/>
    <numFmt numFmtId="171" formatCode="_(&quot;$&quot;* #,##0_);_(&quot;$&quot;* \(#,##0\);_(&quot;$&quot;* &quot;-&quot;??_);_(@_)"/>
    <numFmt numFmtId="172" formatCode="0.0%"/>
    <numFmt numFmtId="173" formatCode="[$-1009]d\-mmm\-yy;@"/>
    <numFmt numFmtId="174" formatCode="_-&quot;$&quot;* #,##0_-;\-&quot;$&quot;* #,##0_-;_-&quot;$&quot;* &quot;-&quot;??_-;_-@_-"/>
    <numFmt numFmtId="175" formatCode="&quot;$&quot;#,##0.00;[Red]&quot;$&quot;#,##0.00"/>
    <numFmt numFmtId="176" formatCode="#,##0.00_ ;[Red]\-#,##0.00\ "/>
    <numFmt numFmtId="177" formatCode="0.0"/>
    <numFmt numFmtId="179" formatCode="0.000%"/>
  </numFmts>
  <fonts count="51" x14ac:knownFonts="1">
    <font>
      <sz val="11"/>
      <color theme="1"/>
      <name val="Calibri"/>
      <family val="2"/>
      <scheme val="minor"/>
    </font>
    <font>
      <sz val="11"/>
      <color theme="1"/>
      <name val="Calibri"/>
      <family val="2"/>
      <scheme val="minor"/>
    </font>
    <font>
      <u/>
      <sz val="11"/>
      <color theme="10"/>
      <name val="Calibri"/>
      <family val="2"/>
      <scheme val="minor"/>
    </font>
    <font>
      <sz val="10"/>
      <color theme="1"/>
      <name val="Segoe UI Light"/>
      <family val="2"/>
    </font>
    <font>
      <sz val="10"/>
      <name val="Arial"/>
      <family val="2"/>
    </font>
    <font>
      <sz val="10"/>
      <name val="Arial"/>
      <family val="2"/>
    </font>
    <font>
      <b/>
      <sz val="10"/>
      <color theme="1"/>
      <name val="Calibri"/>
      <family val="2"/>
      <scheme val="minor"/>
    </font>
    <font>
      <b/>
      <sz val="11"/>
      <color rgb="FF0070C0"/>
      <name val="Calibri"/>
      <family val="2"/>
      <scheme val="minor"/>
    </font>
    <font>
      <sz val="11"/>
      <color theme="1"/>
      <name val="Segoe UI Light"/>
      <family val="2"/>
    </font>
    <font>
      <sz val="10"/>
      <name val="Arial"/>
      <family val="2"/>
    </font>
    <font>
      <sz val="9"/>
      <color indexed="81"/>
      <name val="Tahoma"/>
      <family val="2"/>
    </font>
    <font>
      <b/>
      <sz val="9"/>
      <color indexed="81"/>
      <name val="Tahoma"/>
      <family val="2"/>
    </font>
    <font>
      <b/>
      <sz val="11"/>
      <color theme="1"/>
      <name val="Calibri"/>
      <family val="2"/>
      <scheme val="minor"/>
    </font>
    <font>
      <sz val="10"/>
      <name val="Arial"/>
      <family val="2"/>
    </font>
    <font>
      <b/>
      <sz val="11"/>
      <color rgb="FF0000FF"/>
      <name val="Calibri"/>
      <family val="2"/>
      <scheme val="minor"/>
    </font>
    <font>
      <b/>
      <sz val="11"/>
      <color rgb="FF0076C0"/>
      <name val="Calibri"/>
      <family val="2"/>
      <scheme val="minor"/>
    </font>
    <font>
      <sz val="11"/>
      <name val="Calibri"/>
      <family val="2"/>
      <scheme val="minor"/>
    </font>
    <font>
      <sz val="10"/>
      <name val="Arial"/>
      <family val="2"/>
    </font>
    <font>
      <sz val="10"/>
      <name val="Arial"/>
      <family val="2"/>
    </font>
    <font>
      <sz val="10"/>
      <name val="Arial"/>
      <family val="2"/>
    </font>
    <font>
      <sz val="11"/>
      <color rgb="FF000000"/>
      <name val="Calibri"/>
      <family val="2"/>
    </font>
    <font>
      <sz val="10"/>
      <name val="Arial"/>
      <family val="2"/>
    </font>
    <font>
      <sz val="8"/>
      <name val="Calibri"/>
      <family val="2"/>
      <scheme val="minor"/>
    </font>
    <font>
      <b/>
      <sz val="11"/>
      <color theme="0"/>
      <name val="Calibri"/>
      <family val="2"/>
      <scheme val="minor"/>
    </font>
    <font>
      <sz val="11"/>
      <color theme="0"/>
      <name val="Calibri"/>
      <family val="2"/>
      <scheme val="minor"/>
    </font>
    <font>
      <b/>
      <sz val="18"/>
      <color theme="1"/>
      <name val="Calibri"/>
      <family val="2"/>
      <scheme val="minor"/>
    </font>
    <font>
      <sz val="18"/>
      <color rgb="FF0076C0"/>
      <name val="Calibri"/>
      <family val="2"/>
      <scheme val="minor"/>
    </font>
    <font>
      <sz val="10"/>
      <color theme="1"/>
      <name val="Calibri"/>
      <family val="2"/>
      <scheme val="minor"/>
    </font>
    <font>
      <i/>
      <sz val="12"/>
      <color theme="1"/>
      <name val="Calibri"/>
      <family val="2"/>
      <scheme val="minor"/>
    </font>
    <font>
      <i/>
      <sz val="10"/>
      <color theme="1"/>
      <name val="Calibri"/>
      <family val="2"/>
      <scheme val="minor"/>
    </font>
    <font>
      <sz val="10"/>
      <color theme="0"/>
      <name val="Calibri"/>
      <family val="2"/>
      <scheme val="minor"/>
    </font>
    <font>
      <i/>
      <sz val="10"/>
      <color rgb="FF58595B"/>
      <name val="Calibri"/>
      <family val="2"/>
      <scheme val="minor"/>
    </font>
    <font>
      <i/>
      <sz val="11"/>
      <color theme="1"/>
      <name val="Calibri"/>
      <family val="2"/>
      <scheme val="minor"/>
    </font>
    <font>
      <i/>
      <sz val="11"/>
      <color rgb="FF58595B"/>
      <name val="Calibri"/>
      <family val="2"/>
      <scheme val="minor"/>
    </font>
    <font>
      <b/>
      <i/>
      <sz val="14"/>
      <color theme="5"/>
      <name val="Calibri"/>
      <family val="2"/>
      <scheme val="minor"/>
    </font>
    <font>
      <b/>
      <sz val="12"/>
      <color theme="0"/>
      <name val="Calibri"/>
      <family val="2"/>
      <scheme val="minor"/>
    </font>
    <font>
      <sz val="11"/>
      <color rgb="FF58595B"/>
      <name val="Calibri"/>
      <family val="2"/>
      <scheme val="minor"/>
    </font>
    <font>
      <sz val="11"/>
      <color rgb="FF0076C0"/>
      <name val="Calibri"/>
      <family val="2"/>
      <scheme val="minor"/>
    </font>
    <font>
      <sz val="11"/>
      <color rgb="FF00B050"/>
      <name val="Calibri"/>
      <family val="2"/>
      <scheme val="minor"/>
    </font>
    <font>
      <sz val="11"/>
      <color rgb="FFF58220"/>
      <name val="Calibri"/>
      <family val="2"/>
      <scheme val="minor"/>
    </font>
    <font>
      <b/>
      <u val="singleAccounting"/>
      <sz val="11"/>
      <color theme="1"/>
      <name val="Calibri"/>
      <family val="2"/>
      <scheme val="minor"/>
    </font>
    <font>
      <sz val="11"/>
      <color rgb="FF000000"/>
      <name val="Calibri"/>
      <family val="2"/>
      <scheme val="minor"/>
    </font>
    <font>
      <i/>
      <sz val="11"/>
      <color rgb="FF00B050"/>
      <name val="Calibri"/>
      <family val="2"/>
      <scheme val="minor"/>
    </font>
    <font>
      <sz val="11"/>
      <color rgb="FF000000"/>
      <name val="Calibri"/>
      <family val="2"/>
    </font>
    <font>
      <sz val="11"/>
      <color rgb="FF000000"/>
      <name val="Calibri"/>
      <family val="2"/>
    </font>
    <font>
      <b/>
      <i/>
      <sz val="11"/>
      <color rgb="FFFF0000"/>
      <name val="Calibri"/>
      <family val="2"/>
      <scheme val="minor"/>
    </font>
    <font>
      <sz val="11"/>
      <color rgb="FF000000"/>
      <name val="Calibri"/>
      <family val="2"/>
    </font>
    <font>
      <sz val="10"/>
      <name val="Arial"/>
      <family val="2"/>
    </font>
    <font>
      <b/>
      <sz val="11"/>
      <color rgb="FFF58220"/>
      <name val="Calibri"/>
      <family val="2"/>
      <scheme val="minor"/>
    </font>
    <font>
      <b/>
      <i/>
      <sz val="18"/>
      <color theme="1"/>
      <name val="Calibri"/>
      <family val="2"/>
      <scheme val="minor"/>
    </font>
    <font>
      <b/>
      <u/>
      <sz val="18"/>
      <color theme="10"/>
      <name val="Calibri"/>
      <family val="2"/>
      <scheme val="minor"/>
    </font>
  </fonts>
  <fills count="11">
    <fill>
      <patternFill patternType="none"/>
    </fill>
    <fill>
      <patternFill patternType="gray125"/>
    </fill>
    <fill>
      <patternFill patternType="solid">
        <fgColor rgb="FF0076C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006D94"/>
        <bgColor indexed="64"/>
      </patternFill>
    </fill>
    <fill>
      <patternFill patternType="solid">
        <fgColor rgb="FF4B484E"/>
        <bgColor indexed="64"/>
      </patternFill>
    </fill>
    <fill>
      <patternFill patternType="solid">
        <fgColor rgb="FFFFF8E5"/>
        <bgColor indexed="64"/>
      </patternFill>
    </fill>
    <fill>
      <patternFill patternType="solid">
        <fgColor theme="5" tint="0.79998168889431442"/>
        <bgColor indexed="64"/>
      </patternFill>
    </fill>
  </fills>
  <borders count="3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medium">
        <color rgb="FFCEDD4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ashed">
        <color rgb="FF0070C0"/>
      </left>
      <right style="dashed">
        <color rgb="FF0070C0"/>
      </right>
      <top style="dashed">
        <color rgb="FF0070C0"/>
      </top>
      <bottom style="dashed">
        <color rgb="FF0070C0"/>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auto="1"/>
      </top>
      <bottom/>
      <diagonal/>
    </border>
    <border>
      <left/>
      <right/>
      <top style="medium">
        <color rgb="FFCEDD45"/>
      </top>
      <bottom/>
      <diagonal/>
    </border>
    <border>
      <left style="dashed">
        <color rgb="FF0070C0"/>
      </left>
      <right style="dashed">
        <color rgb="FF0070C0"/>
      </right>
      <top style="medium">
        <color theme="1"/>
      </top>
      <bottom style="dashed">
        <color rgb="FF0070C0"/>
      </bottom>
      <diagonal/>
    </border>
    <border>
      <left/>
      <right/>
      <top style="medium">
        <color indexed="64"/>
      </top>
      <bottom style="medium">
        <color indexed="64"/>
      </bottom>
      <diagonal/>
    </border>
    <border>
      <left/>
      <right/>
      <top style="medium">
        <color theme="1"/>
      </top>
      <bottom/>
      <diagonal/>
    </border>
    <border>
      <left style="dashed">
        <color rgb="FF0000FF"/>
      </left>
      <right style="dashed">
        <color rgb="FF0000FF"/>
      </right>
      <top style="medium">
        <color theme="1"/>
      </top>
      <bottom style="dashed">
        <color rgb="FF0000FF"/>
      </bottom>
      <diagonal/>
    </border>
    <border>
      <left/>
      <right/>
      <top style="dashed">
        <color rgb="FF0070C0"/>
      </top>
      <bottom style="dashed">
        <color rgb="FF0070C0"/>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s>
  <cellStyleXfs count="29">
    <xf numFmtId="0" fontId="0" fillId="0" borderId="0"/>
    <xf numFmtId="0" fontId="2" fillId="0" borderId="0" applyNumberFormat="0" applyFill="0" applyBorder="0" applyAlignment="0" applyProtection="0"/>
    <xf numFmtId="0" fontId="4" fillId="0" borderId="0"/>
    <xf numFmtId="0" fontId="3" fillId="0" borderId="0"/>
    <xf numFmtId="9" fontId="3" fillId="0" borderId="0" applyFont="0" applyFill="0" applyBorder="0" applyAlignment="0" applyProtection="0"/>
    <xf numFmtId="166" fontId="4"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xf numFmtId="9" fontId="8" fillId="0" borderId="0" applyFont="0" applyFill="0" applyBorder="0" applyAlignment="0" applyProtection="0"/>
    <xf numFmtId="0" fontId="9" fillId="0" borderId="0"/>
    <xf numFmtId="9" fontId="4" fillId="0" borderId="0" applyFont="0" applyFill="0" applyBorder="0" applyAlignment="0" applyProtection="0"/>
    <xf numFmtId="0" fontId="1" fillId="0" borderId="0"/>
    <xf numFmtId="44" fontId="4" fillId="0" borderId="0" applyFont="0" applyFill="0" applyBorder="0" applyAlignment="0" applyProtection="0"/>
    <xf numFmtId="0" fontId="13" fillId="0" borderId="0"/>
    <xf numFmtId="44" fontId="1" fillId="0" borderId="0" applyFont="0" applyFill="0" applyBorder="0" applyAlignment="0" applyProtection="0"/>
    <xf numFmtId="0" fontId="4" fillId="0" borderId="0"/>
    <xf numFmtId="0" fontId="17" fillId="0" borderId="0"/>
    <xf numFmtId="0" fontId="18" fillId="0" borderId="0"/>
    <xf numFmtId="0" fontId="19" fillId="0" borderId="0"/>
    <xf numFmtId="0" fontId="20" fillId="0" borderId="0"/>
    <xf numFmtId="0" fontId="21" fillId="0" borderId="0"/>
    <xf numFmtId="0" fontId="43" fillId="0" borderId="0"/>
    <xf numFmtId="0" fontId="20" fillId="0" borderId="0" applyBorder="0"/>
    <xf numFmtId="0" fontId="44" fillId="0" borderId="0"/>
    <xf numFmtId="43" fontId="1" fillId="0" borderId="0" applyFont="0" applyFill="0" applyBorder="0" applyAlignment="0" applyProtection="0"/>
    <xf numFmtId="167" fontId="1" fillId="0" borderId="0" applyFont="0" applyFill="0" applyBorder="0" applyAlignment="0" applyProtection="0"/>
    <xf numFmtId="0" fontId="46" fillId="0" borderId="0"/>
    <xf numFmtId="0" fontId="47" fillId="0" borderId="0"/>
  </cellStyleXfs>
  <cellXfs count="276">
    <xf numFmtId="0" fontId="0" fillId="0" borderId="0" xfId="0"/>
    <xf numFmtId="44" fontId="7" fillId="4" borderId="0" xfId="0" applyNumberFormat="1" applyFont="1" applyFill="1" applyAlignment="1">
      <alignment horizontal="center" vertical="top"/>
    </xf>
    <xf numFmtId="44" fontId="7" fillId="4" borderId="0" xfId="0" applyNumberFormat="1" applyFont="1" applyFill="1"/>
    <xf numFmtId="166" fontId="7" fillId="4" borderId="0" xfId="0" applyNumberFormat="1" applyFont="1" applyFill="1"/>
    <xf numFmtId="10" fontId="15" fillId="4" borderId="0" xfId="7" applyNumberFormat="1" applyFont="1" applyFill="1"/>
    <xf numFmtId="166" fontId="0" fillId="4" borderId="0" xfId="0" applyNumberFormat="1" applyFill="1"/>
    <xf numFmtId="174" fontId="0" fillId="4" borderId="0" xfId="0" applyNumberFormat="1" applyFill="1" applyAlignment="1">
      <alignment horizontal="center" vertical="top"/>
    </xf>
    <xf numFmtId="0" fontId="6" fillId="0" borderId="7" xfId="0" applyFont="1" applyBorder="1" applyAlignment="1">
      <alignment horizontal="left" vertical="top"/>
    </xf>
    <xf numFmtId="0" fontId="6" fillId="0" borderId="9" xfId="0" applyFont="1" applyBorder="1" applyAlignment="1">
      <alignment horizontal="left" vertical="top"/>
    </xf>
    <xf numFmtId="0" fontId="6" fillId="0" borderId="9" xfId="0" applyFont="1" applyBorder="1" applyAlignment="1">
      <alignment horizontal="left" vertical="top" wrapText="1"/>
    </xf>
    <xf numFmtId="0" fontId="6" fillId="0" borderId="7" xfId="0" applyFont="1" applyBorder="1" applyAlignment="1">
      <alignment horizontal="left" vertical="top" wrapText="1"/>
    </xf>
    <xf numFmtId="0" fontId="7" fillId="4" borderId="0" xfId="0" applyFont="1" applyFill="1"/>
    <xf numFmtId="1" fontId="7" fillId="4" borderId="0" xfId="0" applyNumberFormat="1" applyFont="1" applyFill="1" applyAlignment="1">
      <alignment horizontal="left"/>
    </xf>
    <xf numFmtId="0" fontId="7" fillId="4" borderId="0" xfId="0" applyFont="1" applyFill="1" applyAlignment="1">
      <alignment horizontal="left" vertical="top"/>
    </xf>
    <xf numFmtId="169" fontId="7" fillId="4" borderId="0" xfId="0" applyNumberFormat="1" applyFont="1" applyFill="1"/>
    <xf numFmtId="171" fontId="7" fillId="4" borderId="0" xfId="0" applyNumberFormat="1" applyFont="1" applyFill="1"/>
    <xf numFmtId="3" fontId="7" fillId="4" borderId="0" xfId="0" applyNumberFormat="1" applyFont="1" applyFill="1" applyAlignment="1">
      <alignment horizontal="center" vertical="top"/>
    </xf>
    <xf numFmtId="173" fontId="7" fillId="4" borderId="0" xfId="0" applyNumberFormat="1" applyFont="1" applyFill="1"/>
    <xf numFmtId="15" fontId="7" fillId="4" borderId="0" xfId="0" applyNumberFormat="1" applyFont="1" applyFill="1"/>
    <xf numFmtId="14" fontId="7" fillId="4" borderId="0" xfId="0" applyNumberFormat="1" applyFont="1" applyFill="1"/>
    <xf numFmtId="49" fontId="7" fillId="4" borderId="0" xfId="0" applyNumberFormat="1" applyFont="1" applyFill="1"/>
    <xf numFmtId="0" fontId="7" fillId="4" borderId="0" xfId="0" applyFont="1" applyFill="1" applyAlignment="1">
      <alignment horizontal="left"/>
    </xf>
    <xf numFmtId="2" fontId="7" fillId="4" borderId="0" xfId="0" quotePrefix="1" applyNumberFormat="1" applyFont="1" applyFill="1"/>
    <xf numFmtId="44" fontId="0" fillId="4" borderId="0" xfId="0" applyNumberFormat="1" applyFill="1"/>
    <xf numFmtId="172" fontId="0" fillId="4" borderId="0" xfId="0" applyNumberFormat="1" applyFill="1"/>
    <xf numFmtId="174" fontId="7" fillId="4" borderId="0" xfId="0" applyNumberFormat="1" applyFont="1" applyFill="1" applyAlignment="1">
      <alignment horizontal="center" vertical="top"/>
    </xf>
    <xf numFmtId="174" fontId="0" fillId="4" borderId="0" xfId="0" applyNumberFormat="1" applyFill="1"/>
    <xf numFmtId="172" fontId="7" fillId="4" borderId="0" xfId="0" applyNumberFormat="1" applyFont="1" applyFill="1"/>
    <xf numFmtId="44" fontId="16" fillId="4" borderId="0" xfId="0" applyNumberFormat="1" applyFont="1" applyFill="1"/>
    <xf numFmtId="10" fontId="7" fillId="4" borderId="0" xfId="7" applyNumberFormat="1" applyFont="1" applyFill="1"/>
    <xf numFmtId="9" fontId="7" fillId="4" borderId="0" xfId="0" applyNumberFormat="1" applyFont="1" applyFill="1"/>
    <xf numFmtId="44" fontId="12" fillId="4" borderId="0" xfId="0" applyNumberFormat="1" applyFont="1" applyFill="1"/>
    <xf numFmtId="44" fontId="7" fillId="4" borderId="0" xfId="6" applyFont="1" applyFill="1"/>
    <xf numFmtId="10" fontId="7" fillId="4" borderId="0" xfId="0" applyNumberFormat="1" applyFont="1" applyFill="1"/>
    <xf numFmtId="10" fontId="15" fillId="4" borderId="0" xfId="9" applyNumberFormat="1" applyFont="1" applyFill="1"/>
    <xf numFmtId="10" fontId="7" fillId="4" borderId="0" xfId="9" applyNumberFormat="1" applyFont="1" applyFill="1"/>
    <xf numFmtId="0" fontId="0" fillId="4" borderId="0" xfId="0" applyFill="1"/>
    <xf numFmtId="44" fontId="14" fillId="4" borderId="0" xfId="0" applyNumberFormat="1" applyFont="1" applyFill="1"/>
    <xf numFmtId="0" fontId="6" fillId="0" borderId="8" xfId="0" applyFont="1" applyBorder="1" applyAlignment="1">
      <alignment horizontal="left" vertical="top"/>
    </xf>
    <xf numFmtId="0" fontId="6" fillId="0" borderId="8" xfId="0" applyFont="1" applyBorder="1" applyAlignment="1">
      <alignment horizontal="left" vertical="top" wrapText="1"/>
    </xf>
    <xf numFmtId="0" fontId="6" fillId="5" borderId="9" xfId="0" applyFont="1" applyFill="1" applyBorder="1" applyAlignment="1">
      <alignment horizontal="left" vertical="top" wrapText="1"/>
    </xf>
    <xf numFmtId="0" fontId="0" fillId="0" borderId="0" xfId="0" applyAlignment="1">
      <alignment horizontal="center"/>
    </xf>
    <xf numFmtId="49" fontId="12" fillId="6" borderId="0" xfId="0" applyNumberFormat="1" applyFont="1" applyFill="1"/>
    <xf numFmtId="0" fontId="12" fillId="6" borderId="0" xfId="0" applyFont="1" applyFill="1" applyAlignment="1">
      <alignment horizontal="left" vertical="top"/>
    </xf>
    <xf numFmtId="170" fontId="12" fillId="6" borderId="0" xfId="0" applyNumberFormat="1" applyFont="1" applyFill="1"/>
    <xf numFmtId="9" fontId="12" fillId="6" borderId="0" xfId="0" applyNumberFormat="1" applyFont="1" applyFill="1"/>
    <xf numFmtId="171" fontId="12" fillId="6" borderId="0" xfId="0" applyNumberFormat="1" applyFont="1" applyFill="1"/>
    <xf numFmtId="3" fontId="12" fillId="6" borderId="0" xfId="0" applyNumberFormat="1" applyFont="1" applyFill="1" applyAlignment="1">
      <alignment horizontal="center" vertical="top"/>
    </xf>
    <xf numFmtId="174" fontId="12" fillId="6" borderId="0" xfId="0" applyNumberFormat="1" applyFont="1" applyFill="1" applyAlignment="1">
      <alignment horizontal="center" vertical="top"/>
    </xf>
    <xf numFmtId="174" fontId="12" fillId="6" borderId="0" xfId="0" applyNumberFormat="1" applyFont="1" applyFill="1"/>
    <xf numFmtId="172" fontId="12" fillId="6" borderId="0" xfId="0" applyNumberFormat="1" applyFont="1" applyFill="1"/>
    <xf numFmtId="44" fontId="12" fillId="6" borderId="0" xfId="0" applyNumberFormat="1" applyFont="1" applyFill="1"/>
    <xf numFmtId="0" fontId="12" fillId="6" borderId="0" xfId="0" applyFont="1" applyFill="1"/>
    <xf numFmtId="0" fontId="25" fillId="3" borderId="0" xfId="3" applyFont="1" applyFill="1" applyAlignment="1">
      <alignment vertical="center"/>
    </xf>
    <xf numFmtId="0" fontId="26" fillId="3" borderId="0" xfId="3" applyFont="1" applyFill="1" applyAlignment="1">
      <alignment horizontal="center" vertical="center"/>
    </xf>
    <xf numFmtId="0" fontId="26" fillId="3" borderId="0" xfId="3" applyFont="1" applyFill="1" applyAlignment="1">
      <alignment vertical="center"/>
    </xf>
    <xf numFmtId="169" fontId="26" fillId="3" borderId="0" xfId="3" applyNumberFormat="1" applyFont="1" applyFill="1" applyAlignment="1">
      <alignment horizontal="center" vertical="center"/>
    </xf>
    <xf numFmtId="170" fontId="26" fillId="3" borderId="0" xfId="3" applyNumberFormat="1" applyFont="1" applyFill="1" applyAlignment="1">
      <alignment horizontal="center" vertical="center"/>
    </xf>
    <xf numFmtId="0" fontId="27" fillId="0" borderId="0" xfId="3" applyFont="1" applyAlignment="1">
      <alignment horizontal="center" vertical="center"/>
    </xf>
    <xf numFmtId="0" fontId="27" fillId="0" borderId="0" xfId="3" applyFont="1" applyAlignment="1">
      <alignment vertical="center"/>
    </xf>
    <xf numFmtId="0" fontId="27" fillId="3" borderId="0" xfId="3" applyFont="1" applyFill="1" applyAlignment="1">
      <alignment vertical="center"/>
    </xf>
    <xf numFmtId="170" fontId="27" fillId="3" borderId="0" xfId="3" applyNumberFormat="1" applyFont="1" applyFill="1" applyAlignment="1">
      <alignment vertical="center"/>
    </xf>
    <xf numFmtId="0" fontId="28" fillId="3" borderId="0" xfId="3" applyFont="1" applyFill="1" applyAlignment="1">
      <alignment vertical="center"/>
    </xf>
    <xf numFmtId="0" fontId="1" fillId="0" borderId="0" xfId="0" applyFont="1"/>
    <xf numFmtId="0" fontId="30" fillId="2" borderId="6" xfId="3" applyFont="1" applyFill="1" applyBorder="1" applyAlignment="1">
      <alignment horizontal="center" vertical="center"/>
    </xf>
    <xf numFmtId="0" fontId="27" fillId="3" borderId="0" xfId="3" applyFont="1" applyFill="1" applyAlignment="1">
      <alignment horizontal="center" vertical="center"/>
    </xf>
    <xf numFmtId="38" fontId="27" fillId="3" borderId="0" xfId="3" applyNumberFormat="1" applyFont="1" applyFill="1" applyAlignment="1">
      <alignment vertical="center"/>
    </xf>
    <xf numFmtId="0" fontId="1" fillId="0" borderId="0" xfId="0" applyFont="1" applyAlignment="1">
      <alignment horizontal="center"/>
    </xf>
    <xf numFmtId="9" fontId="1" fillId="0" borderId="0" xfId="0" applyNumberFormat="1" applyFont="1"/>
    <xf numFmtId="172" fontId="1" fillId="0" borderId="0" xfId="0" applyNumberFormat="1" applyFont="1"/>
    <xf numFmtId="172" fontId="1" fillId="0" borderId="0" xfId="7" applyNumberFormat="1" applyFont="1"/>
    <xf numFmtId="0" fontId="2" fillId="0" borderId="0" xfId="1" applyFill="1" applyAlignment="1">
      <alignment horizontal="center" vertical="center"/>
    </xf>
    <xf numFmtId="9" fontId="1" fillId="0" borderId="0" xfId="7" applyFont="1"/>
    <xf numFmtId="38" fontId="27" fillId="3" borderId="0" xfId="3" applyNumberFormat="1" applyFont="1" applyFill="1" applyAlignment="1">
      <alignment horizontal="center" vertical="center"/>
    </xf>
    <xf numFmtId="44" fontId="1" fillId="0" borderId="0" xfId="6" applyFont="1"/>
    <xf numFmtId="170" fontId="1" fillId="0" borderId="0" xfId="6" applyNumberFormat="1" applyFont="1"/>
    <xf numFmtId="169" fontId="1" fillId="0" borderId="0" xfId="6" applyNumberFormat="1" applyFont="1"/>
    <xf numFmtId="169" fontId="27" fillId="3" borderId="0" xfId="3" applyNumberFormat="1" applyFont="1" applyFill="1" applyAlignment="1">
      <alignment horizontal="center" vertical="center"/>
    </xf>
    <xf numFmtId="170" fontId="27" fillId="3" borderId="0" xfId="3" applyNumberFormat="1" applyFont="1" applyFill="1" applyAlignment="1">
      <alignment horizontal="center" vertical="center"/>
    </xf>
    <xf numFmtId="169" fontId="31" fillId="3" borderId="0" xfId="3" applyNumberFormat="1" applyFont="1" applyFill="1" applyAlignment="1">
      <alignment vertical="center"/>
    </xf>
    <xf numFmtId="9" fontId="1" fillId="3" borderId="0" xfId="4" applyFont="1" applyFill="1" applyAlignment="1">
      <alignment vertical="center"/>
    </xf>
    <xf numFmtId="0" fontId="32" fillId="9" borderId="19" xfId="3" applyFont="1" applyFill="1" applyBorder="1" applyAlignment="1">
      <alignment vertical="center"/>
    </xf>
    <xf numFmtId="0" fontId="34" fillId="3" borderId="0" xfId="3" applyFont="1" applyFill="1" applyAlignment="1">
      <alignment vertical="center"/>
    </xf>
    <xf numFmtId="0" fontId="35" fillId="2" borderId="6" xfId="3" applyFont="1" applyFill="1" applyBorder="1" applyAlignment="1">
      <alignment vertical="center"/>
    </xf>
    <xf numFmtId="0" fontId="1" fillId="0" borderId="0" xfId="3" applyFont="1" applyAlignment="1">
      <alignment vertical="center"/>
    </xf>
    <xf numFmtId="38" fontId="1" fillId="0" borderId="0" xfId="3" applyNumberFormat="1" applyFont="1" applyAlignment="1">
      <alignment vertical="center"/>
    </xf>
    <xf numFmtId="170" fontId="1" fillId="0" borderId="0" xfId="3" applyNumberFormat="1" applyFont="1" applyAlignment="1">
      <alignment vertical="center"/>
    </xf>
    <xf numFmtId="169" fontId="33" fillId="0" borderId="0" xfId="3" applyNumberFormat="1" applyFont="1" applyAlignment="1">
      <alignment vertical="center"/>
    </xf>
    <xf numFmtId="170" fontId="1" fillId="0" borderId="0" xfId="3" applyNumberFormat="1" applyFont="1" applyAlignment="1">
      <alignment vertical="center" wrapText="1"/>
    </xf>
    <xf numFmtId="0" fontId="36" fillId="0" borderId="0" xfId="0" applyFont="1" applyAlignment="1">
      <alignment vertical="center"/>
    </xf>
    <xf numFmtId="0" fontId="37" fillId="0" borderId="0" xfId="0" applyFont="1" applyAlignment="1">
      <alignment vertical="center"/>
    </xf>
    <xf numFmtId="0" fontId="37" fillId="0" borderId="0" xfId="0" applyFont="1" applyAlignment="1">
      <alignment horizontal="center" vertical="center"/>
    </xf>
    <xf numFmtId="0" fontId="24" fillId="0" borderId="0" xfId="0" applyFont="1" applyAlignment="1">
      <alignment vertical="center"/>
    </xf>
    <xf numFmtId="0" fontId="0" fillId="0" borderId="0" xfId="0" applyAlignment="1">
      <alignment vertical="center"/>
    </xf>
    <xf numFmtId="6" fontId="0" fillId="0" borderId="0" xfId="0" applyNumberFormat="1" applyAlignment="1">
      <alignment vertical="center"/>
    </xf>
    <xf numFmtId="14" fontId="0" fillId="0" borderId="0" xfId="0" applyNumberFormat="1" applyAlignment="1">
      <alignment horizontal="center" vertical="center"/>
    </xf>
    <xf numFmtId="0" fontId="0" fillId="0" borderId="0" xfId="0" applyAlignment="1">
      <alignment horizontal="center" vertical="center"/>
    </xf>
    <xf numFmtId="0" fontId="38" fillId="0" borderId="0" xfId="0" applyFont="1" applyAlignment="1">
      <alignment vertical="center"/>
    </xf>
    <xf numFmtId="8" fontId="0" fillId="0" borderId="0" xfId="0" applyNumberFormat="1" applyAlignment="1">
      <alignment horizontal="center" vertical="center"/>
    </xf>
    <xf numFmtId="8" fontId="0" fillId="0" borderId="0" xfId="0" applyNumberFormat="1" applyAlignment="1">
      <alignment vertical="center"/>
    </xf>
    <xf numFmtId="168" fontId="0" fillId="0" borderId="0" xfId="0" applyNumberFormat="1" applyAlignment="1">
      <alignment horizontal="center" vertical="center"/>
    </xf>
    <xf numFmtId="168"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vertical="center" wrapText="1"/>
    </xf>
    <xf numFmtId="164" fontId="0" fillId="0" borderId="1" xfId="0" applyNumberFormat="1" applyBorder="1" applyAlignment="1">
      <alignment horizontal="center" vertical="center"/>
    </xf>
    <xf numFmtId="164" fontId="0" fillId="0" borderId="0" xfId="0" applyNumberFormat="1" applyAlignment="1">
      <alignment horizontal="center" vertical="center"/>
    </xf>
    <xf numFmtId="164" fontId="0" fillId="0" borderId="2" xfId="0" applyNumberFormat="1" applyBorder="1" applyAlignment="1">
      <alignment horizontal="center" vertical="center"/>
    </xf>
    <xf numFmtId="165" fontId="39" fillId="0" borderId="0" xfId="0" applyNumberFormat="1" applyFont="1" applyAlignment="1">
      <alignment horizontal="center" vertical="center"/>
    </xf>
    <xf numFmtId="8" fontId="39" fillId="0" borderId="0" xfId="0" applyNumberFormat="1" applyFont="1" applyAlignment="1">
      <alignment vertical="center"/>
    </xf>
    <xf numFmtId="175" fontId="0" fillId="0" borderId="0" xfId="0" applyNumberFormat="1" applyAlignment="1">
      <alignment horizontal="center" vertical="center"/>
    </xf>
    <xf numFmtId="8" fontId="12" fillId="0" borderId="0" xfId="0" applyNumberFormat="1" applyFont="1" applyAlignment="1">
      <alignment vertical="center"/>
    </xf>
    <xf numFmtId="169" fontId="0" fillId="0" borderId="6" xfId="0" applyNumberFormat="1" applyBorder="1" applyAlignment="1">
      <alignment horizontal="center" vertical="center"/>
    </xf>
    <xf numFmtId="164" fontId="24" fillId="0" borderId="0" xfId="0" applyNumberFormat="1" applyFont="1" applyAlignment="1">
      <alignment horizontal="center" vertical="center"/>
    </xf>
    <xf numFmtId="6" fontId="23" fillId="8" borderId="0" xfId="0" applyNumberFormat="1" applyFont="1" applyFill="1" applyAlignment="1">
      <alignment horizontal="center" vertical="center"/>
    </xf>
    <xf numFmtId="164" fontId="23" fillId="8" borderId="0" xfId="0" applyNumberFormat="1" applyFont="1" applyFill="1" applyAlignment="1">
      <alignment horizontal="center" vertical="center"/>
    </xf>
    <xf numFmtId="0" fontId="0" fillId="0" borderId="0" xfId="0" applyAlignment="1">
      <alignment horizontal="left" vertical="center"/>
    </xf>
    <xf numFmtId="0" fontId="1" fillId="0" borderId="0" xfId="3" applyFont="1" applyAlignment="1">
      <alignment horizontal="center" vertical="center"/>
    </xf>
    <xf numFmtId="168" fontId="16" fillId="0" borderId="0" xfId="0" applyNumberFormat="1" applyFont="1" applyAlignment="1">
      <alignment horizontal="center" vertical="center"/>
    </xf>
    <xf numFmtId="1" fontId="23" fillId="8" borderId="0" xfId="0" applyNumberFormat="1" applyFont="1" applyFill="1" applyAlignment="1">
      <alignment horizontal="center" vertical="center"/>
    </xf>
    <xf numFmtId="8" fontId="0" fillId="0" borderId="0" xfId="0" applyNumberFormat="1" applyAlignment="1">
      <alignment horizontal="left" vertical="center"/>
    </xf>
    <xf numFmtId="6" fontId="0" fillId="0" borderId="0" xfId="0" applyNumberFormat="1" applyAlignment="1">
      <alignment horizontal="left" vertical="center"/>
    </xf>
    <xf numFmtId="0" fontId="2" fillId="0" borderId="0" xfId="1" applyFill="1" applyAlignment="1">
      <alignment horizontal="center"/>
    </xf>
    <xf numFmtId="6" fontId="23" fillId="8" borderId="0" xfId="0" applyNumberFormat="1" applyFont="1" applyFill="1" applyAlignment="1">
      <alignment vertical="center"/>
    </xf>
    <xf numFmtId="0" fontId="32" fillId="0" borderId="0" xfId="0" applyFont="1" applyAlignment="1">
      <alignment vertical="center"/>
    </xf>
    <xf numFmtId="6" fontId="12" fillId="0" borderId="0" xfId="0" applyNumberFormat="1" applyFont="1" applyAlignment="1">
      <alignment vertical="center"/>
    </xf>
    <xf numFmtId="164" fontId="12" fillId="0" borderId="0" xfId="0" applyNumberFormat="1" applyFont="1" applyAlignment="1">
      <alignment horizontal="center" vertical="center"/>
    </xf>
    <xf numFmtId="0" fontId="40" fillId="0" borderId="0" xfId="0" applyFont="1" applyAlignment="1">
      <alignment horizontal="center" vertical="center"/>
    </xf>
    <xf numFmtId="6" fontId="0" fillId="0" borderId="0" xfId="0" applyNumberFormat="1" applyAlignment="1">
      <alignment horizontal="center" vertical="center"/>
    </xf>
    <xf numFmtId="0" fontId="0" fillId="0" borderId="6" xfId="0" applyBorder="1" applyAlignment="1">
      <alignment horizontal="left" vertical="center"/>
    </xf>
    <xf numFmtId="8" fontId="39" fillId="0" borderId="0" xfId="0" applyNumberFormat="1" applyFont="1" applyAlignment="1">
      <alignment horizontal="left" vertical="center"/>
    </xf>
    <xf numFmtId="8" fontId="32" fillId="0" borderId="0" xfId="0" applyNumberFormat="1" applyFont="1" applyAlignment="1">
      <alignment horizontal="left" vertical="center"/>
    </xf>
    <xf numFmtId="8" fontId="12" fillId="0" borderId="0" xfId="0" applyNumberFormat="1" applyFont="1" applyAlignment="1">
      <alignment horizontal="left" vertical="center"/>
    </xf>
    <xf numFmtId="8" fontId="12" fillId="0" borderId="23" xfId="0" applyNumberFormat="1" applyFont="1" applyBorder="1" applyAlignment="1">
      <alignment horizontal="left" vertical="center"/>
    </xf>
    <xf numFmtId="8" fontId="12" fillId="0" borderId="17" xfId="0" applyNumberFormat="1" applyFont="1" applyBorder="1" applyAlignment="1">
      <alignment horizontal="left" vertical="center"/>
    </xf>
    <xf numFmtId="164" fontId="12" fillId="0" borderId="17" xfId="0" applyNumberFormat="1" applyFont="1" applyBorder="1" applyAlignment="1">
      <alignment horizontal="center" vertical="center"/>
    </xf>
    <xf numFmtId="8" fontId="0" fillId="0" borderId="9" xfId="0" applyNumberFormat="1" applyBorder="1" applyAlignment="1">
      <alignment horizontal="left" vertical="center"/>
    </xf>
    <xf numFmtId="8" fontId="0" fillId="0" borderId="9" xfId="0" applyNumberFormat="1" applyBorder="1" applyAlignment="1">
      <alignment horizontal="center" vertical="center"/>
    </xf>
    <xf numFmtId="6" fontId="0" fillId="0" borderId="9" xfId="0" applyNumberFormat="1" applyBorder="1" applyAlignment="1">
      <alignment horizontal="center" vertical="center"/>
    </xf>
    <xf numFmtId="0" fontId="35" fillId="8" borderId="0" xfId="0" applyFont="1" applyFill="1" applyAlignment="1">
      <alignment horizontal="left" vertical="center"/>
    </xf>
    <xf numFmtId="0" fontId="23" fillId="8" borderId="0" xfId="0" applyFont="1" applyFill="1" applyAlignment="1">
      <alignment horizontal="left" vertical="center"/>
    </xf>
    <xf numFmtId="8" fontId="0" fillId="0" borderId="24" xfId="0" applyNumberFormat="1" applyBorder="1" applyAlignment="1">
      <alignment horizontal="left" vertical="center"/>
    </xf>
    <xf numFmtId="8" fontId="0" fillId="0" borderId="24" xfId="0" applyNumberFormat="1" applyBorder="1" applyAlignment="1">
      <alignment horizontal="center" vertical="center"/>
    </xf>
    <xf numFmtId="10" fontId="0" fillId="0" borderId="0" xfId="7" applyNumberFormat="1" applyFont="1" applyFill="1" applyBorder="1" applyAlignment="1">
      <alignment horizontal="center" vertical="center"/>
    </xf>
    <xf numFmtId="8" fontId="0" fillId="0" borderId="6" xfId="0" applyNumberFormat="1" applyBorder="1" applyAlignment="1">
      <alignment horizontal="left" vertical="center"/>
    </xf>
    <xf numFmtId="8" fontId="0" fillId="0" borderId="6" xfId="0" applyNumberFormat="1" applyBorder="1" applyAlignment="1">
      <alignment horizontal="center" vertical="center"/>
    </xf>
    <xf numFmtId="0" fontId="32" fillId="9" borderId="25" xfId="3" applyFont="1" applyFill="1" applyBorder="1" applyAlignment="1">
      <alignment horizontal="center" vertical="center"/>
    </xf>
    <xf numFmtId="6" fontId="0" fillId="0" borderId="2" xfId="0" applyNumberFormat="1" applyBorder="1" applyAlignment="1">
      <alignment horizontal="left" vertical="center"/>
    </xf>
    <xf numFmtId="0" fontId="1" fillId="9" borderId="19" xfId="3" applyFont="1" applyFill="1" applyBorder="1" applyAlignment="1">
      <alignment horizontal="center" vertical="center"/>
    </xf>
    <xf numFmtId="3" fontId="1" fillId="9" borderId="19" xfId="3" applyNumberFormat="1" applyFont="1" applyFill="1" applyBorder="1" applyAlignment="1">
      <alignment horizontal="center" vertical="center"/>
    </xf>
    <xf numFmtId="0" fontId="29" fillId="0" borderId="0" xfId="3" applyFont="1" applyAlignment="1">
      <alignment horizontal="center" vertical="center"/>
    </xf>
    <xf numFmtId="40" fontId="1" fillId="0" borderId="0" xfId="3" applyNumberFormat="1" applyFont="1" applyAlignment="1">
      <alignment horizontal="center" vertical="center"/>
    </xf>
    <xf numFmtId="40" fontId="32" fillId="0" borderId="0" xfId="3" applyNumberFormat="1" applyFont="1" applyAlignment="1">
      <alignment horizontal="center" vertical="center"/>
    </xf>
    <xf numFmtId="0" fontId="0" fillId="0" borderId="0" xfId="0" applyAlignment="1">
      <alignment horizontal="left"/>
    </xf>
    <xf numFmtId="0" fontId="0" fillId="0" borderId="0" xfId="0" applyAlignment="1">
      <alignment horizontal="center" wrapText="1"/>
    </xf>
    <xf numFmtId="0" fontId="41" fillId="0" borderId="2" xfId="0" applyFont="1" applyBorder="1" applyAlignment="1">
      <alignment horizontal="left"/>
    </xf>
    <xf numFmtId="0" fontId="0" fillId="0" borderId="2" xfId="0" applyBorder="1" applyAlignment="1">
      <alignment horizontal="left"/>
    </xf>
    <xf numFmtId="0" fontId="0" fillId="0" borderId="2" xfId="0" applyBorder="1" applyAlignment="1">
      <alignment horizontal="center"/>
    </xf>
    <xf numFmtId="168" fontId="16" fillId="0" borderId="2" xfId="0" applyNumberFormat="1" applyFont="1" applyBorder="1" applyAlignment="1">
      <alignment horizontal="center" vertical="center"/>
    </xf>
    <xf numFmtId="0" fontId="29" fillId="0" borderId="0" xfId="0" applyFont="1" applyAlignment="1">
      <alignment horizontal="left" vertical="center"/>
    </xf>
    <xf numFmtId="0" fontId="29" fillId="0" borderId="0" xfId="0" applyFont="1" applyAlignment="1">
      <alignment horizontal="center" vertical="center"/>
    </xf>
    <xf numFmtId="176" fontId="16" fillId="0" borderId="2" xfId="0" applyNumberFormat="1" applyFont="1" applyBorder="1" applyAlignment="1">
      <alignment horizontal="center" vertical="center"/>
    </xf>
    <xf numFmtId="0" fontId="41" fillId="0" borderId="0" xfId="0" applyFont="1" applyAlignment="1">
      <alignment horizontal="left"/>
    </xf>
    <xf numFmtId="176" fontId="16" fillId="0" borderId="0" xfId="0" applyNumberFormat="1" applyFont="1" applyAlignment="1">
      <alignment horizontal="center" vertical="center"/>
    </xf>
    <xf numFmtId="2" fontId="0" fillId="0" borderId="0" xfId="0" applyNumberFormat="1" applyAlignment="1">
      <alignment horizontal="center" wrapText="1"/>
    </xf>
    <xf numFmtId="0" fontId="41" fillId="0" borderId="26" xfId="0" applyFont="1" applyBorder="1" applyAlignment="1">
      <alignment horizontal="left"/>
    </xf>
    <xf numFmtId="0" fontId="0" fillId="0" borderId="26" xfId="0" applyBorder="1" applyAlignment="1">
      <alignment horizontal="left"/>
    </xf>
    <xf numFmtId="0" fontId="0" fillId="0" borderId="26" xfId="0" applyBorder="1" applyAlignment="1">
      <alignment horizontal="center"/>
    </xf>
    <xf numFmtId="168" fontId="16" fillId="0" borderId="26" xfId="0" applyNumberFormat="1" applyFont="1" applyBorder="1" applyAlignment="1">
      <alignment horizontal="center" vertical="center"/>
    </xf>
    <xf numFmtId="176" fontId="16" fillId="0" borderId="26" xfId="0" applyNumberFormat="1" applyFont="1" applyBorder="1" applyAlignment="1">
      <alignment horizontal="center" vertical="center"/>
    </xf>
    <xf numFmtId="2" fontId="0" fillId="0" borderId="26" xfId="0" applyNumberFormat="1" applyBorder="1" applyAlignment="1">
      <alignment horizontal="center" wrapText="1"/>
    </xf>
    <xf numFmtId="0" fontId="32" fillId="0" borderId="27" xfId="3" applyFont="1" applyBorder="1" applyAlignment="1">
      <alignment horizontal="center" vertical="center"/>
    </xf>
    <xf numFmtId="2" fontId="0" fillId="0" borderId="0" xfId="0" applyNumberFormat="1" applyAlignment="1">
      <alignment horizontal="center"/>
    </xf>
    <xf numFmtId="40" fontId="38" fillId="0" borderId="0" xfId="3" applyNumberFormat="1" applyFont="1" applyAlignment="1">
      <alignment horizontal="center" vertical="center"/>
    </xf>
    <xf numFmtId="0" fontId="38" fillId="0" borderId="0" xfId="0" applyFont="1" applyAlignment="1">
      <alignment horizontal="center" vertical="center"/>
    </xf>
    <xf numFmtId="168" fontId="38" fillId="0" borderId="0" xfId="0" applyNumberFormat="1" applyFont="1" applyAlignment="1">
      <alignment horizontal="center" vertical="center"/>
    </xf>
    <xf numFmtId="8" fontId="0" fillId="0" borderId="0" xfId="0" applyNumberFormat="1"/>
    <xf numFmtId="2" fontId="0" fillId="0" borderId="2" xfId="0" applyNumberFormat="1" applyBorder="1" applyAlignment="1">
      <alignment horizontal="center" wrapText="1"/>
    </xf>
    <xf numFmtId="14" fontId="0" fillId="0" borderId="0" xfId="0" applyNumberFormat="1" applyAlignment="1">
      <alignment horizontal="center"/>
    </xf>
    <xf numFmtId="4" fontId="1" fillId="9" borderId="19" xfId="3" applyNumberFormat="1" applyFont="1" applyFill="1" applyBorder="1" applyAlignment="1">
      <alignment horizontal="center" vertical="center"/>
    </xf>
    <xf numFmtId="0" fontId="12" fillId="0" borderId="0" xfId="0" applyFont="1" applyAlignment="1">
      <alignment horizontal="center" vertical="center"/>
    </xf>
    <xf numFmtId="0" fontId="2" fillId="0" borderId="0" xfId="1"/>
    <xf numFmtId="3" fontId="1" fillId="0" borderId="29" xfId="3" applyNumberFormat="1" applyFont="1" applyBorder="1" applyAlignment="1">
      <alignment horizontal="center" vertical="center"/>
    </xf>
    <xf numFmtId="14" fontId="0" fillId="0" borderId="2" xfId="0" applyNumberFormat="1" applyBorder="1" applyAlignment="1">
      <alignment horizontal="center"/>
    </xf>
    <xf numFmtId="2" fontId="0" fillId="0" borderId="2" xfId="0" applyNumberFormat="1" applyBorder="1" applyAlignment="1">
      <alignment horizontal="center"/>
    </xf>
    <xf numFmtId="44" fontId="0" fillId="0" borderId="2" xfId="6" applyFont="1" applyBorder="1" applyAlignment="1">
      <alignment horizontal="center"/>
    </xf>
    <xf numFmtId="44" fontId="0" fillId="0" borderId="0" xfId="6" applyFont="1" applyBorder="1" applyAlignment="1">
      <alignment horizontal="center"/>
    </xf>
    <xf numFmtId="2" fontId="32" fillId="9" borderId="28" xfId="3" applyNumberFormat="1" applyFont="1" applyFill="1" applyBorder="1" applyAlignment="1">
      <alignment horizontal="center" vertical="center"/>
    </xf>
    <xf numFmtId="0" fontId="0" fillId="0" borderId="0" xfId="0" quotePrefix="1" applyAlignment="1">
      <alignment horizontal="center" vertical="center" wrapText="1"/>
    </xf>
    <xf numFmtId="0" fontId="32" fillId="0" borderId="0" xfId="0" applyFont="1" applyAlignment="1">
      <alignment horizontal="center" vertical="center"/>
    </xf>
    <xf numFmtId="168" fontId="0" fillId="0" borderId="0" xfId="0" quotePrefix="1" applyNumberFormat="1" applyAlignment="1">
      <alignment horizontal="center" vertical="center"/>
    </xf>
    <xf numFmtId="1" fontId="23" fillId="0" borderId="0" xfId="0" applyNumberFormat="1" applyFont="1" applyAlignment="1">
      <alignment horizontal="center" vertical="center"/>
    </xf>
    <xf numFmtId="6" fontId="23" fillId="0" borderId="0" xfId="0" applyNumberFormat="1" applyFont="1" applyAlignment="1">
      <alignment horizontal="center" vertical="center"/>
    </xf>
    <xf numFmtId="164" fontId="23" fillId="0" borderId="0" xfId="0" applyNumberFormat="1" applyFont="1" applyAlignment="1">
      <alignment horizontal="center" vertical="center"/>
    </xf>
    <xf numFmtId="0" fontId="0" fillId="0" borderId="17" xfId="0" applyBorder="1" applyAlignment="1">
      <alignment horizontal="center"/>
    </xf>
    <xf numFmtId="44" fontId="12" fillId="0" borderId="17" xfId="15" applyFont="1" applyBorder="1" applyAlignment="1">
      <alignment horizontal="center"/>
    </xf>
    <xf numFmtId="177" fontId="0" fillId="0" borderId="17" xfId="0" applyNumberFormat="1" applyBorder="1" applyAlignment="1">
      <alignment horizontal="center"/>
    </xf>
    <xf numFmtId="44" fontId="0" fillId="0" borderId="17" xfId="6" applyFont="1" applyBorder="1" applyAlignment="1">
      <alignment horizontal="center"/>
    </xf>
    <xf numFmtId="44" fontId="12" fillId="0" borderId="0" xfId="15" applyFont="1" applyBorder="1"/>
    <xf numFmtId="44" fontId="12" fillId="0" borderId="0" xfId="15" applyFont="1" applyBorder="1" applyAlignment="1">
      <alignment horizontal="center"/>
    </xf>
    <xf numFmtId="17" fontId="0" fillId="0" borderId="0" xfId="0" applyNumberFormat="1" applyAlignment="1">
      <alignment horizontal="center"/>
    </xf>
    <xf numFmtId="177" fontId="0" fillId="0" borderId="0" xfId="0" applyNumberFormat="1" applyAlignment="1">
      <alignment horizontal="center"/>
    </xf>
    <xf numFmtId="44" fontId="12" fillId="0" borderId="0" xfId="15" applyFont="1"/>
    <xf numFmtId="44" fontId="12" fillId="0" borderId="0" xfId="15" applyFont="1" applyAlignment="1">
      <alignment horizontal="center"/>
    </xf>
    <xf numFmtId="44" fontId="0" fillId="0" borderId="0" xfId="15" applyFont="1"/>
    <xf numFmtId="44" fontId="0" fillId="0" borderId="20" xfId="6" applyFont="1" applyBorder="1"/>
    <xf numFmtId="0" fontId="12" fillId="0" borderId="0" xfId="0" applyFont="1" applyAlignment="1">
      <alignment horizontal="center"/>
    </xf>
    <xf numFmtId="44" fontId="0" fillId="0" borderId="0" xfId="0" applyNumberFormat="1" applyAlignment="1">
      <alignment horizontal="center"/>
    </xf>
    <xf numFmtId="2" fontId="0" fillId="0" borderId="21" xfId="6" applyNumberFormat="1" applyFont="1" applyBorder="1"/>
    <xf numFmtId="0" fontId="0" fillId="0" borderId="18" xfId="0" applyBorder="1" applyAlignment="1">
      <alignment horizontal="left"/>
    </xf>
    <xf numFmtId="0" fontId="0" fillId="0" borderId="13" xfId="0" applyBorder="1" applyAlignment="1">
      <alignment horizontal="left"/>
    </xf>
    <xf numFmtId="44" fontId="12" fillId="0" borderId="17" xfId="15" applyFont="1" applyBorder="1"/>
    <xf numFmtId="17" fontId="0" fillId="0" borderId="17" xfId="0" applyNumberFormat="1" applyBorder="1" applyAlignment="1">
      <alignment horizontal="center"/>
    </xf>
    <xf numFmtId="0" fontId="0" fillId="0" borderId="1" xfId="0" applyBorder="1" applyAlignment="1">
      <alignment horizontal="center"/>
    </xf>
    <xf numFmtId="44" fontId="12" fillId="0" borderId="1" xfId="15" applyFont="1" applyBorder="1" applyAlignment="1">
      <alignment horizontal="center"/>
    </xf>
    <xf numFmtId="14" fontId="0" fillId="0" borderId="1" xfId="0" applyNumberFormat="1" applyBorder="1" applyAlignment="1">
      <alignment horizontal="center"/>
    </xf>
    <xf numFmtId="177" fontId="0" fillId="0" borderId="1" xfId="0" applyNumberFormat="1" applyBorder="1" applyAlignment="1">
      <alignment horizontal="center"/>
    </xf>
    <xf numFmtId="44" fontId="0" fillId="0" borderId="1" xfId="6" applyFont="1" applyBorder="1" applyAlignment="1">
      <alignment horizontal="center"/>
    </xf>
    <xf numFmtId="0" fontId="0" fillId="0" borderId="14" xfId="0" applyBorder="1" applyAlignment="1">
      <alignment horizontal="left"/>
    </xf>
    <xf numFmtId="44" fontId="0" fillId="0" borderId="13" xfId="6" applyFont="1" applyBorder="1"/>
    <xf numFmtId="2" fontId="0" fillId="0" borderId="14" xfId="6" applyNumberFormat="1" applyFont="1" applyBorder="1"/>
    <xf numFmtId="44" fontId="0" fillId="0" borderId="32" xfId="0" applyNumberFormat="1" applyBorder="1"/>
    <xf numFmtId="44" fontId="0" fillId="0" borderId="18" xfId="0" applyNumberFormat="1" applyBorder="1"/>
    <xf numFmtId="0" fontId="24" fillId="7" borderId="10" xfId="0" applyFont="1" applyFill="1" applyBorder="1"/>
    <xf numFmtId="0" fontId="23" fillId="7" borderId="33" xfId="0" applyFont="1" applyFill="1" applyBorder="1" applyAlignment="1">
      <alignment horizontal="center"/>
    </xf>
    <xf numFmtId="0" fontId="23" fillId="7" borderId="11" xfId="0" applyFont="1" applyFill="1" applyBorder="1" applyAlignment="1">
      <alignment horizontal="center"/>
    </xf>
    <xf numFmtId="0" fontId="24" fillId="8" borderId="34" xfId="0" applyFont="1" applyFill="1" applyBorder="1"/>
    <xf numFmtId="0" fontId="24" fillId="8" borderId="35" xfId="0" applyFont="1" applyFill="1" applyBorder="1"/>
    <xf numFmtId="0" fontId="24" fillId="8" borderId="36" xfId="0" applyFont="1" applyFill="1" applyBorder="1"/>
    <xf numFmtId="0" fontId="24" fillId="8" borderId="37" xfId="0" applyFont="1" applyFill="1" applyBorder="1"/>
    <xf numFmtId="0" fontId="23" fillId="7" borderId="30" xfId="0" applyFont="1" applyFill="1" applyBorder="1" applyAlignment="1">
      <alignment horizontal="center" vertical="center" wrapText="1"/>
    </xf>
    <xf numFmtId="0" fontId="23" fillId="7" borderId="23" xfId="0" applyFont="1" applyFill="1" applyBorder="1" applyAlignment="1">
      <alignment horizontal="center" vertical="center" wrapText="1"/>
    </xf>
    <xf numFmtId="0" fontId="24" fillId="8" borderId="15" xfId="0" applyFont="1" applyFill="1" applyBorder="1"/>
    <xf numFmtId="0" fontId="24" fillId="8" borderId="1" xfId="0" applyFont="1" applyFill="1" applyBorder="1" applyAlignment="1">
      <alignment horizontal="center"/>
    </xf>
    <xf numFmtId="0" fontId="24" fillId="8" borderId="12" xfId="0" applyFont="1" applyFill="1" applyBorder="1"/>
    <xf numFmtId="0" fontId="24" fillId="8" borderId="0" xfId="0" applyFont="1" applyFill="1" applyAlignment="1">
      <alignment horizontal="center"/>
    </xf>
    <xf numFmtId="0" fontId="24" fillId="8" borderId="16" xfId="0" applyFont="1" applyFill="1" applyBorder="1"/>
    <xf numFmtId="0" fontId="24" fillId="8" borderId="17" xfId="0" applyFont="1" applyFill="1" applyBorder="1" applyAlignment="1">
      <alignment horizontal="center"/>
    </xf>
    <xf numFmtId="0" fontId="23" fillId="7" borderId="31" xfId="0" applyFont="1" applyFill="1" applyBorder="1" applyAlignment="1">
      <alignment horizontal="center" vertical="center" wrapText="1"/>
    </xf>
    <xf numFmtId="44" fontId="12" fillId="0" borderId="1" xfId="15" applyFont="1" applyFill="1" applyBorder="1"/>
    <xf numFmtId="3" fontId="1" fillId="0" borderId="0" xfId="3" applyNumberFormat="1" applyFont="1" applyAlignment="1">
      <alignment horizontal="center" vertical="center"/>
    </xf>
    <xf numFmtId="43" fontId="0" fillId="0" borderId="0" xfId="25" applyFont="1" applyAlignment="1">
      <alignment horizontal="center"/>
    </xf>
    <xf numFmtId="40" fontId="16" fillId="0" borderId="0" xfId="3" applyNumberFormat="1" applyFont="1" applyAlignment="1">
      <alignment horizontal="center" vertical="center"/>
    </xf>
    <xf numFmtId="6" fontId="0" fillId="0" borderId="1" xfId="0" applyNumberFormat="1" applyBorder="1" applyAlignment="1">
      <alignment horizontal="left" vertical="center"/>
    </xf>
    <xf numFmtId="6" fontId="0" fillId="0" borderId="1" xfId="0" applyNumberFormat="1" applyBorder="1" applyAlignment="1">
      <alignment horizontal="center" vertical="center"/>
    </xf>
    <xf numFmtId="9" fontId="0" fillId="9" borderId="0" xfId="0" applyNumberFormat="1" applyFill="1" applyAlignment="1">
      <alignment horizontal="left" vertical="center"/>
    </xf>
    <xf numFmtId="6" fontId="12" fillId="0" borderId="0" xfId="0" applyNumberFormat="1" applyFont="1" applyAlignment="1">
      <alignment horizontal="center" vertical="center"/>
    </xf>
    <xf numFmtId="0" fontId="12" fillId="10" borderId="3" xfId="0" applyFont="1" applyFill="1" applyBorder="1" applyAlignment="1">
      <alignment vertical="top" wrapText="1"/>
    </xf>
    <xf numFmtId="0" fontId="12" fillId="10" borderId="2" xfId="0" applyFont="1" applyFill="1" applyBorder="1" applyAlignment="1">
      <alignment vertical="top" wrapText="1"/>
    </xf>
    <xf numFmtId="0" fontId="12" fillId="10" borderId="4" xfId="0" applyFont="1" applyFill="1" applyBorder="1" applyAlignment="1">
      <alignment vertical="top" wrapText="1"/>
    </xf>
    <xf numFmtId="0" fontId="12" fillId="10" borderId="0" xfId="0" applyFont="1" applyFill="1" applyAlignment="1">
      <alignment vertical="top" wrapText="1"/>
    </xf>
    <xf numFmtId="0" fontId="12" fillId="10" borderId="5" xfId="0" applyFont="1" applyFill="1" applyBorder="1" applyAlignment="1">
      <alignment vertical="top" wrapText="1"/>
    </xf>
    <xf numFmtId="0" fontId="12" fillId="10" borderId="1" xfId="0" applyFont="1" applyFill="1" applyBorder="1" applyAlignment="1">
      <alignment vertical="top" wrapText="1"/>
    </xf>
    <xf numFmtId="16" fontId="0" fillId="0" borderId="0" xfId="0" quotePrefix="1" applyNumberFormat="1" applyAlignment="1">
      <alignment horizontal="center"/>
    </xf>
    <xf numFmtId="0" fontId="0" fillId="0" borderId="0" xfId="0" quotePrefix="1" applyAlignment="1">
      <alignment horizontal="center"/>
    </xf>
    <xf numFmtId="165" fontId="48" fillId="0" borderId="0" xfId="0" applyNumberFormat="1" applyFont="1" applyAlignment="1">
      <alignment horizontal="center" vertical="center"/>
    </xf>
    <xf numFmtId="0" fontId="0" fillId="0" borderId="0" xfId="0" applyAlignment="1">
      <alignment horizontal="center" vertical="center" wrapText="1"/>
    </xf>
    <xf numFmtId="0" fontId="12" fillId="10" borderId="3" xfId="0" applyFont="1" applyFill="1" applyBorder="1" applyAlignment="1">
      <alignment vertical="top" wrapText="1"/>
    </xf>
    <xf numFmtId="0" fontId="12" fillId="10" borderId="2" xfId="0" applyFont="1" applyFill="1" applyBorder="1" applyAlignment="1">
      <alignment vertical="top" wrapText="1"/>
    </xf>
    <xf numFmtId="0" fontId="12" fillId="10" borderId="22" xfId="0" applyFont="1" applyFill="1" applyBorder="1" applyAlignment="1">
      <alignment vertical="top" wrapText="1"/>
    </xf>
    <xf numFmtId="0" fontId="12" fillId="10" borderId="4" xfId="0" applyFont="1" applyFill="1" applyBorder="1" applyAlignment="1">
      <alignment vertical="top" wrapText="1"/>
    </xf>
    <xf numFmtId="0" fontId="12" fillId="10" borderId="0" xfId="0" applyFont="1" applyFill="1" applyAlignment="1">
      <alignment vertical="top" wrapText="1"/>
    </xf>
    <xf numFmtId="0" fontId="12" fillId="10" borderId="20" xfId="0" applyFont="1" applyFill="1" applyBorder="1" applyAlignment="1">
      <alignment vertical="top" wrapText="1"/>
    </xf>
    <xf numFmtId="0" fontId="12" fillId="10" borderId="5" xfId="0" applyFont="1" applyFill="1" applyBorder="1" applyAlignment="1">
      <alignment vertical="top" wrapText="1"/>
    </xf>
    <xf numFmtId="0" fontId="12" fillId="10" borderId="1" xfId="0" applyFont="1" applyFill="1" applyBorder="1" applyAlignment="1">
      <alignment vertical="top" wrapText="1"/>
    </xf>
    <xf numFmtId="0" fontId="12" fillId="10" borderId="21" xfId="0" applyFont="1" applyFill="1" applyBorder="1" applyAlignment="1">
      <alignment vertical="top" wrapText="1"/>
    </xf>
    <xf numFmtId="0" fontId="0" fillId="0" borderId="0" xfId="0" applyFill="1"/>
    <xf numFmtId="0" fontId="27" fillId="0" borderId="0" xfId="3" applyFont="1" applyFill="1" applyAlignment="1">
      <alignment horizontal="center" vertical="center"/>
    </xf>
    <xf numFmtId="38" fontId="2" fillId="0" borderId="0" xfId="1" applyNumberFormat="1" applyFill="1" applyAlignment="1">
      <alignment horizontal="center" vertical="center"/>
    </xf>
    <xf numFmtId="38" fontId="27" fillId="0" borderId="0" xfId="3" applyNumberFormat="1" applyFont="1" applyFill="1" applyAlignment="1">
      <alignment vertical="center"/>
    </xf>
    <xf numFmtId="179" fontId="42" fillId="0" borderId="0" xfId="7" applyNumberFormat="1" applyFont="1" applyFill="1" applyAlignment="1">
      <alignment vertical="center"/>
    </xf>
    <xf numFmtId="0" fontId="27" fillId="0" borderId="0" xfId="3" applyFont="1" applyFill="1" applyAlignment="1">
      <alignment vertical="center"/>
    </xf>
    <xf numFmtId="169" fontId="45" fillId="0" borderId="0" xfId="3" applyNumberFormat="1" applyFont="1" applyFill="1" applyAlignment="1">
      <alignment vertical="center"/>
    </xf>
    <xf numFmtId="170" fontId="27" fillId="0" borderId="0" xfId="3" applyNumberFormat="1" applyFont="1" applyFill="1" applyAlignment="1">
      <alignment horizontal="center" vertical="center"/>
    </xf>
    <xf numFmtId="169" fontId="27" fillId="0" borderId="0" xfId="3" applyNumberFormat="1" applyFont="1" applyFill="1" applyAlignment="1">
      <alignment horizontal="center" vertical="center"/>
    </xf>
    <xf numFmtId="0" fontId="49" fillId="0" borderId="0" xfId="0" applyFont="1" applyAlignment="1">
      <alignment vertical="center"/>
    </xf>
    <xf numFmtId="0" fontId="50" fillId="0" borderId="0" xfId="1" applyFont="1" applyFill="1" applyAlignment="1">
      <alignment horizontal="center"/>
    </xf>
  </cellXfs>
  <cellStyles count="29">
    <cellStyle name="Comma" xfId="25" builtinId="3"/>
    <cellStyle name="Comma 2" xfId="26" xr:uid="{D43C960D-B874-4638-82AF-D8756DB67684}"/>
    <cellStyle name="Currency" xfId="6" builtinId="4"/>
    <cellStyle name="Currency 2" xfId="5" xr:uid="{203580D6-B57E-4C8F-BBE3-82BD0CF9CF4B}"/>
    <cellStyle name="Currency 2 2" xfId="13" xr:uid="{6FCD98EE-F554-4FD4-9C29-993DC722D20B}"/>
    <cellStyle name="Currency 3" xfId="15" xr:uid="{995334AE-6271-4854-87D3-174FEAEAEA54}"/>
    <cellStyle name="Hyperlink" xfId="1" builtinId="8"/>
    <cellStyle name="Normal" xfId="0" builtinId="0"/>
    <cellStyle name="Normal 10" xfId="20" xr:uid="{B366F8DF-C9B9-4195-BE22-BF064B68F39B}"/>
    <cellStyle name="Normal 11" xfId="21" xr:uid="{B6CFDC62-0CD3-4185-A42E-9750D23B13DA}"/>
    <cellStyle name="Normal 12" xfId="22" xr:uid="{AE600938-8B5B-40BC-8911-9E3E8CABAA1B}"/>
    <cellStyle name="Normal 13" xfId="24" xr:uid="{00E06630-44E8-453A-9E58-EA1CA6C27D20}"/>
    <cellStyle name="Normal 14" xfId="27" xr:uid="{52326896-346E-4991-B308-F1DD8A351251}"/>
    <cellStyle name="Normal 15" xfId="28" xr:uid="{A84EEF11-84F5-40F2-A0C1-190294214C62}"/>
    <cellStyle name="Normal 2" xfId="2" xr:uid="{7FB58F38-AA75-41B5-98FA-E974318A7B1B}"/>
    <cellStyle name="Normal 2 2" xfId="12" xr:uid="{E9F7AFEB-21EB-46A7-9730-0CC9AFC8D03E}"/>
    <cellStyle name="Normal 2 3" xfId="23" xr:uid="{7C8DED12-0C35-4D1C-941C-9ECB9349DF22}"/>
    <cellStyle name="Normal 3" xfId="3" xr:uid="{7AC0ED66-FC88-4289-8A89-68A5CBCD031C}"/>
    <cellStyle name="Normal 4" xfId="8" xr:uid="{CD1026D7-F835-4881-9BAE-E4928799786F}"/>
    <cellStyle name="Normal 4 2" xfId="16" xr:uid="{F5E11E3A-6635-4298-9878-CC71AC118964}"/>
    <cellStyle name="Normal 5" xfId="10" xr:uid="{08B5872E-97BC-480D-B3CA-C86B8FF0338A}"/>
    <cellStyle name="Normal 6" xfId="14" xr:uid="{8B8B24DF-F4B5-4DBC-931D-71105ADED1C0}"/>
    <cellStyle name="Normal 7" xfId="17" xr:uid="{82C9E457-98D7-494E-894C-64F45ABBCFD7}"/>
    <cellStyle name="Normal 8" xfId="18" xr:uid="{F8D9FDEE-6A51-438A-896A-9A172E3A128B}"/>
    <cellStyle name="Normal 9" xfId="19" xr:uid="{6988B880-2B1F-493A-AC20-BE08B7F46309}"/>
    <cellStyle name="Percent" xfId="7" builtinId="5"/>
    <cellStyle name="Percent 2" xfId="4" xr:uid="{BD81B836-56C8-4482-9767-3B19EAEB51FB}"/>
    <cellStyle name="Percent 3" xfId="11" xr:uid="{D72A259D-C7DD-4E92-9BFB-2A34E5BD24BB}"/>
    <cellStyle name="Percent 6" xfId="9" xr:uid="{CFD321BD-35DF-4408-8E29-9B7D3CC498D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8E5"/>
      <color rgb="FFFFF2CC"/>
      <color rgb="FF006D94"/>
      <color rgb="FF4B484E"/>
      <color rgb="FF0000FF"/>
      <color rgb="FFC4D8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74</xdr:row>
      <xdr:rowOff>0</xdr:rowOff>
    </xdr:from>
    <xdr:to>
      <xdr:col>12</xdr:col>
      <xdr:colOff>304800</xdr:colOff>
      <xdr:row>75</xdr:row>
      <xdr:rowOff>98586</xdr:rowOff>
    </xdr:to>
    <xdr:sp macro="" textlink="">
      <xdr:nvSpPr>
        <xdr:cNvPr id="2" name="AutoShape 3" descr="216 26 Avenue NW Calgary, AB T2M 2C9 | MLS Â® C4228598 Photo 3">
          <a:extLst>
            <a:ext uri="{FF2B5EF4-FFF2-40B4-BE49-F238E27FC236}">
              <a16:creationId xmlns:a16="http://schemas.microsoft.com/office/drawing/2014/main" id="{31611DE4-045D-41B1-9A36-A1EE43094DAF}"/>
            </a:ext>
          </a:extLst>
        </xdr:cNvPr>
        <xdr:cNvSpPr>
          <a:spLocks noChangeAspect="1" noChangeArrowheads="1"/>
        </xdr:cNvSpPr>
      </xdr:nvSpPr>
      <xdr:spPr bwMode="auto">
        <a:xfrm>
          <a:off x="14182725" y="13982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12</xdr:col>
      <xdr:colOff>0</xdr:colOff>
      <xdr:row>74</xdr:row>
      <xdr:rowOff>0</xdr:rowOff>
    </xdr:from>
    <xdr:ext cx="304800" cy="318407"/>
    <xdr:sp macro="" textlink="">
      <xdr:nvSpPr>
        <xdr:cNvPr id="6" name="AutoShape 3" descr="216 26 Avenue NW Calgary, AB T2M 2C9 | MLS Â® C4228598 Photo 3">
          <a:extLst>
            <a:ext uri="{FF2B5EF4-FFF2-40B4-BE49-F238E27FC236}">
              <a16:creationId xmlns:a16="http://schemas.microsoft.com/office/drawing/2014/main" id="{1362FBFA-907A-4FC6-97D2-6FA3648C3B4A}"/>
            </a:ext>
          </a:extLst>
        </xdr:cNvPr>
        <xdr:cNvSpPr>
          <a:spLocks noChangeAspect="1" noChangeArrowheads="1"/>
        </xdr:cNvSpPr>
      </xdr:nvSpPr>
      <xdr:spPr bwMode="auto">
        <a:xfrm>
          <a:off x="16659225" y="13982700"/>
          <a:ext cx="304800" cy="31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74</xdr:row>
      <xdr:rowOff>0</xdr:rowOff>
    </xdr:from>
    <xdr:ext cx="304800" cy="318407"/>
    <xdr:sp macro="" textlink="">
      <xdr:nvSpPr>
        <xdr:cNvPr id="8" name="AutoShape 3" descr="216 26 Avenue NW Calgary, AB T2M 2C9 | MLS Â® C4228598 Photo 3">
          <a:extLst>
            <a:ext uri="{FF2B5EF4-FFF2-40B4-BE49-F238E27FC236}">
              <a16:creationId xmlns:a16="http://schemas.microsoft.com/office/drawing/2014/main" id="{A53FD159-EF4D-4117-9732-CD3EA06B9DFC}"/>
            </a:ext>
          </a:extLst>
        </xdr:cNvPr>
        <xdr:cNvSpPr>
          <a:spLocks noChangeAspect="1" noChangeArrowheads="1"/>
        </xdr:cNvSpPr>
      </xdr:nvSpPr>
      <xdr:spPr bwMode="auto">
        <a:xfrm>
          <a:off x="19135725" y="13982700"/>
          <a:ext cx="304800" cy="31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74</xdr:row>
      <xdr:rowOff>0</xdr:rowOff>
    </xdr:from>
    <xdr:ext cx="304800" cy="318407"/>
    <xdr:sp macro="" textlink="">
      <xdr:nvSpPr>
        <xdr:cNvPr id="9" name="AutoShape 3" descr="216 26 Avenue NW Calgary, AB T2M 2C9 | MLS Â® C4228598 Photo 3">
          <a:extLst>
            <a:ext uri="{FF2B5EF4-FFF2-40B4-BE49-F238E27FC236}">
              <a16:creationId xmlns:a16="http://schemas.microsoft.com/office/drawing/2014/main" id="{26F3AAF3-D261-4CB5-87B4-6D09CF602684}"/>
            </a:ext>
          </a:extLst>
        </xdr:cNvPr>
        <xdr:cNvSpPr>
          <a:spLocks noChangeAspect="1" noChangeArrowheads="1"/>
        </xdr:cNvSpPr>
      </xdr:nvSpPr>
      <xdr:spPr bwMode="auto">
        <a:xfrm>
          <a:off x="21612225" y="13982700"/>
          <a:ext cx="304800" cy="31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81644</xdr:colOff>
      <xdr:row>7</xdr:row>
      <xdr:rowOff>11702</xdr:rowOff>
    </xdr:from>
    <xdr:to>
      <xdr:col>4</xdr:col>
      <xdr:colOff>2460716</xdr:colOff>
      <xdr:row>7</xdr:row>
      <xdr:rowOff>1996440</xdr:rowOff>
    </xdr:to>
    <xdr:pic>
      <xdr:nvPicPr>
        <xdr:cNvPr id="4" name="Picture 3">
          <a:extLst>
            <a:ext uri="{FF2B5EF4-FFF2-40B4-BE49-F238E27FC236}">
              <a16:creationId xmlns:a16="http://schemas.microsoft.com/office/drawing/2014/main" id="{06F43FDE-9AB6-AF68-52A2-568451CB8B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2715" y="1481273"/>
          <a:ext cx="2375262" cy="1988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13606</xdr:colOff>
      <xdr:row>7</xdr:row>
      <xdr:rowOff>40822</xdr:rowOff>
    </xdr:from>
    <xdr:to>
      <xdr:col>5</xdr:col>
      <xdr:colOff>2344925</xdr:colOff>
      <xdr:row>7</xdr:row>
      <xdr:rowOff>2041072</xdr:rowOff>
    </xdr:to>
    <xdr:pic>
      <xdr:nvPicPr>
        <xdr:cNvPr id="7" name="Picture 6">
          <a:extLst>
            <a:ext uri="{FF2B5EF4-FFF2-40B4-BE49-F238E27FC236}">
              <a16:creationId xmlns:a16="http://schemas.microsoft.com/office/drawing/2014/main" id="{FC6ADED3-DE4C-12C4-AFCD-E61C071B75C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707" t="20283" r="35371" b="33755"/>
        <a:stretch>
          <a:fillRect/>
        </a:stretch>
      </xdr:blipFill>
      <xdr:spPr bwMode="auto">
        <a:xfrm>
          <a:off x="8123463" y="1578429"/>
          <a:ext cx="2316079" cy="200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2326821</xdr:colOff>
      <xdr:row>7</xdr:row>
      <xdr:rowOff>27215</xdr:rowOff>
    </xdr:from>
    <xdr:to>
      <xdr:col>6</xdr:col>
      <xdr:colOff>2307228</xdr:colOff>
      <xdr:row>8</xdr:row>
      <xdr:rowOff>20265</xdr:rowOff>
    </xdr:to>
    <xdr:pic>
      <xdr:nvPicPr>
        <xdr:cNvPr id="10" name="Picture 9">
          <a:extLst>
            <a:ext uri="{FF2B5EF4-FFF2-40B4-BE49-F238E27FC236}">
              <a16:creationId xmlns:a16="http://schemas.microsoft.com/office/drawing/2014/main" id="{E006CF1A-BA56-9ABC-796C-7C7207CCAC9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4424" t="8363" r="21144" b="8216"/>
        <a:stretch>
          <a:fillRect/>
        </a:stretch>
      </xdr:blipFill>
      <xdr:spPr bwMode="auto">
        <a:xfrm>
          <a:off x="10436678" y="1564822"/>
          <a:ext cx="2381251" cy="2032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xdr:colOff>
      <xdr:row>7</xdr:row>
      <xdr:rowOff>0</xdr:rowOff>
    </xdr:from>
    <xdr:to>
      <xdr:col>10</xdr:col>
      <xdr:colOff>21226</xdr:colOff>
      <xdr:row>7</xdr:row>
      <xdr:rowOff>2038894</xdr:rowOff>
    </xdr:to>
    <xdr:pic>
      <xdr:nvPicPr>
        <xdr:cNvPr id="11" name="Picture 10">
          <a:extLst>
            <a:ext uri="{FF2B5EF4-FFF2-40B4-BE49-F238E27FC236}">
              <a16:creationId xmlns:a16="http://schemas.microsoft.com/office/drawing/2014/main" id="{7E4EEBF1-9C33-111F-4879-50DDAC24ED3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335251" y="1537607"/>
          <a:ext cx="2422070" cy="2027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xdr:colOff>
      <xdr:row>7</xdr:row>
      <xdr:rowOff>0</xdr:rowOff>
    </xdr:from>
    <xdr:to>
      <xdr:col>11</xdr:col>
      <xdr:colOff>96884</xdr:colOff>
      <xdr:row>7</xdr:row>
      <xdr:rowOff>2037522</xdr:rowOff>
    </xdr:to>
    <xdr:pic>
      <xdr:nvPicPr>
        <xdr:cNvPr id="12" name="Picture 11">
          <a:extLst>
            <a:ext uri="{FF2B5EF4-FFF2-40B4-BE49-F238E27FC236}">
              <a16:creationId xmlns:a16="http://schemas.microsoft.com/office/drawing/2014/main" id="{5F2C698C-7723-5EF6-B3D5-37916D26CE1E}"/>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0007" t="23033" r="33845" b="22529"/>
        <a:stretch>
          <a:fillRect/>
        </a:stretch>
      </xdr:blipFill>
      <xdr:spPr bwMode="auto">
        <a:xfrm>
          <a:off x="17743715" y="1537607"/>
          <a:ext cx="2490107" cy="2048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2340429</xdr:colOff>
      <xdr:row>7</xdr:row>
      <xdr:rowOff>2</xdr:rowOff>
    </xdr:from>
    <xdr:to>
      <xdr:col>9</xdr:col>
      <xdr:colOff>2</xdr:colOff>
      <xdr:row>7</xdr:row>
      <xdr:rowOff>2041369</xdr:rowOff>
    </xdr:to>
    <xdr:pic>
      <xdr:nvPicPr>
        <xdr:cNvPr id="20" name="Picture 19">
          <a:extLst>
            <a:ext uri="{FF2B5EF4-FFF2-40B4-BE49-F238E27FC236}">
              <a16:creationId xmlns:a16="http://schemas.microsoft.com/office/drawing/2014/main" id="{DEA2C7C7-4C78-3EF7-C980-A690BCB6901A}"/>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7309" t="9408" r="18341" b="11143"/>
        <a:stretch>
          <a:fillRect/>
        </a:stretch>
      </xdr:blipFill>
      <xdr:spPr bwMode="auto">
        <a:xfrm>
          <a:off x="15267215" y="1537609"/>
          <a:ext cx="2476501" cy="2041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1</xdr:colOff>
      <xdr:row>7</xdr:row>
      <xdr:rowOff>1</xdr:rowOff>
    </xdr:from>
    <xdr:ext cx="2286000" cy="2041072"/>
    <xdr:pic>
      <xdr:nvPicPr>
        <xdr:cNvPr id="23" name="Picture 22">
          <a:extLst>
            <a:ext uri="{FF2B5EF4-FFF2-40B4-BE49-F238E27FC236}">
              <a16:creationId xmlns:a16="http://schemas.microsoft.com/office/drawing/2014/main" id="{9E661923-6A15-43CF-9A43-F282B107B4E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335251" y="1537608"/>
          <a:ext cx="2286000" cy="20410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2299607</xdr:colOff>
      <xdr:row>7</xdr:row>
      <xdr:rowOff>27213</xdr:rowOff>
    </xdr:from>
    <xdr:to>
      <xdr:col>7</xdr:col>
      <xdr:colOff>2245177</xdr:colOff>
      <xdr:row>7</xdr:row>
      <xdr:rowOff>2037594</xdr:rowOff>
    </xdr:to>
    <xdr:pic>
      <xdr:nvPicPr>
        <xdr:cNvPr id="24" name="Picture 23">
          <a:extLst>
            <a:ext uri="{FF2B5EF4-FFF2-40B4-BE49-F238E27FC236}">
              <a16:creationId xmlns:a16="http://schemas.microsoft.com/office/drawing/2014/main" id="{E837A7BC-4B41-FD25-FFEA-73466F4485EB}"/>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5632" r="21379" b="19311"/>
        <a:stretch>
          <a:fillRect/>
        </a:stretch>
      </xdr:blipFill>
      <xdr:spPr bwMode="auto">
        <a:xfrm>
          <a:off x="12817928" y="1564820"/>
          <a:ext cx="2354035" cy="20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54429</xdr:colOff>
      <xdr:row>7</xdr:row>
      <xdr:rowOff>27214</xdr:rowOff>
    </xdr:from>
    <xdr:to>
      <xdr:col>3</xdr:col>
      <xdr:colOff>2460213</xdr:colOff>
      <xdr:row>7</xdr:row>
      <xdr:rowOff>1959156</xdr:rowOff>
    </xdr:to>
    <xdr:pic>
      <xdr:nvPicPr>
        <xdr:cNvPr id="3" name="Picture 2">
          <a:extLst>
            <a:ext uri="{FF2B5EF4-FFF2-40B4-BE49-F238E27FC236}">
              <a16:creationId xmlns:a16="http://schemas.microsoft.com/office/drawing/2014/main" id="{4F289A9C-ADDE-E6D2-E26E-59AED39D6DAA}"/>
            </a:ext>
          </a:extLst>
        </xdr:cNvPr>
        <xdr:cNvPicPr>
          <a:picLocks noChangeAspect="1"/>
        </xdr:cNvPicPr>
      </xdr:nvPicPr>
      <xdr:blipFill>
        <a:blip xmlns:r="http://schemas.openxmlformats.org/officeDocument/2006/relationships" r:embed="rId9"/>
        <a:stretch>
          <a:fillRect/>
        </a:stretch>
      </xdr:blipFill>
      <xdr:spPr>
        <a:xfrm>
          <a:off x="3429000" y="1619250"/>
          <a:ext cx="2405784" cy="19262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rystalcreekh.sharepoint.com/sites/CCHActiveProjects/Shared%20Documents/Belvedere%20III%201024/119%20Belvedere%20Crescent%20SE%20-%20Front%20Drive%20SPEC/Admin%20&amp;%20Finance/119%20BC%20Margin%20Sheet%20Jul%2025%2025.xlsx" TargetMode="External"/><Relationship Id="rId1" Type="http://schemas.openxmlformats.org/officeDocument/2006/relationships/externalLinkPath" Target="https://kvcapital.sharepoint.com/sites/CCHActiveProjects/Shared%20Documents/Belvedere%20III%201024/119%20Belvedere%20Crescent%20SE%20-%20Front%20Drive%20SPEC/Admin%20&amp;%20Finance/119%20BC%20Margin%20Sheet%20Jul%2025%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kvcapital.sharepoint.com/TMC/Financing%20Private/1%20Open%20Files/Modern%20Contracting%20-%20Infill/Due%20Diligence/Land/5309,%205311%20-%20109%20ST/5309,%205311%20109%20St%20NW%20-%20UW%20Analysis%20TC%20-%20Apr%202020%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Jul 25 25"/>
      <sheetName val="Financing"/>
      <sheetName val="Contract"/>
      <sheetName val="Closing"/>
      <sheetName val="CTC Jul 25"/>
      <sheetName val="Data"/>
    </sheetNames>
    <sheetDataSet>
      <sheetData sheetId="0"/>
      <sheetData sheetId="1"/>
      <sheetData sheetId="2"/>
      <sheetData sheetId="3"/>
      <sheetData sheetId="4"/>
      <sheetData sheetId="5"/>
      <sheetData sheetId="6">
        <row r="1">
          <cell r="A1" t="str">
            <v>Artesia</v>
          </cell>
          <cell r="D1" t="str">
            <v>Bruce Wang</v>
          </cell>
        </row>
        <row r="2">
          <cell r="A2" t="str">
            <v>Aspen Woods</v>
          </cell>
          <cell r="D2" t="str">
            <v>Dana Carlsen</v>
          </cell>
        </row>
        <row r="3">
          <cell r="A3" t="str">
            <v>Belvedere</v>
          </cell>
          <cell r="D3" t="str">
            <v>Jennifer Sinclaire</v>
          </cell>
        </row>
        <row r="4">
          <cell r="A4" t="str">
            <v>Currie Barracks</v>
          </cell>
          <cell r="D4" t="str">
            <v xml:space="preserve">Raven Roche </v>
          </cell>
        </row>
        <row r="5">
          <cell r="A5" t="str">
            <v>Hudson at Pinecreek</v>
          </cell>
          <cell r="D5" t="str">
            <v>Trevor Scott</v>
          </cell>
        </row>
        <row r="6">
          <cell r="A6" t="str">
            <v>Legacy</v>
          </cell>
        </row>
        <row r="7">
          <cell r="A7" t="str">
            <v>Personal Homesites</v>
          </cell>
        </row>
        <row r="8">
          <cell r="A8" t="str">
            <v>Quarry Park</v>
          </cell>
        </row>
        <row r="9">
          <cell r="A9" t="str">
            <v>Rockland Park</v>
          </cell>
        </row>
        <row r="10">
          <cell r="A10" t="str">
            <v>South Shore</v>
          </cell>
        </row>
        <row r="11">
          <cell r="A11" t="str">
            <v>Watermark</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ales Comps"/>
      <sheetName val="SPIN Search"/>
      <sheetName val="Budget"/>
      <sheetName val="5309 Exp"/>
      <sheetName val="5311 Exp"/>
      <sheetName val="5309, 5311 109 St NW - UW Analy"/>
    </sheetNames>
    <sheetDataSet>
      <sheetData sheetId="0">
        <row r="1">
          <cell r="A1" t="str">
            <v>Modern Contracting LOC</v>
          </cell>
        </row>
      </sheetData>
      <sheetData sheetId="1" refreshError="1"/>
      <sheetData sheetId="2" refreshError="1"/>
      <sheetData sheetId="3" refreshError="1"/>
      <sheetData sheetId="4" refreshError="1"/>
      <sheetData sheetId="5"/>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Amaan Datoo" id="{ED13ECF8-52FC-49B1-A9D6-D8B51C0751BE}" userId="S::amaan@kvcapital.ca::4906cdae-0c3c-4d9e-bf11-dcda549b2ccd" providerId="AD"/>
  <person displayName="Tyler Cikaluk" id="{B197FF4F-6885-4D6E-BF28-495500DC3A64}" userId="S::tyler@kvcapital.ca::7234c798-2ce1-42aa-a8c0-8875d2ae286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10" dT="2020-12-16T19:00:04.33" personId="{B197FF4F-6885-4D6E-BF28-495500DC3A64}" id="{A1EC9BBF-260D-4E02-A697-AF92875043BC}">
    <text>Last progress inspection as of December 14, 2020 indicates 98.8% complete. Property has been advanced on based on 100% completion</text>
  </threadedComment>
  <threadedComment ref="H12" dT="2020-10-28T21:35:05.31" personId="{B197FF4F-6885-4D6E-BF28-495500DC3A64}" id="{4B75DC80-A268-4B1D-8986-68E6E02ABDF1}">
    <text>Notified on October 9, 2020 that the purchaser had to walk away from the sale and their 15% deposit as a result of loss of employment due to COVID-19</text>
  </threadedComment>
  <threadedComment ref="P14" dT="2020-07-15T22:16:44.17" personId="{B197FF4F-6885-4D6E-BF28-495500DC3A64}" id="{21174C79-19F9-43DC-BA73-83D4055F2D5B}">
    <text>Appraised Value: $571,200
Listing Value - July 15, 2020: $539,900</text>
  </threadedComment>
  <threadedComment ref="H15" dT="2021-03-09T15:02:26.62" personId="{B197FF4F-6885-4D6E-BF28-495500DC3A64}" id="{94B0AFB6-3A3A-444D-ACA2-0DF302CB5ABA}">
    <text>Pre-sold status awarded even though a 10% deposit/financing letter from bank was not received on this sale. Sale closes in early to mid April and UW is to closely monitor the closing of this sale. If it does not close on time or falls through, UW to reduce leverage and take a higher payout on another unit closing or a reduced future advance.</text>
  </threadedComment>
  <threadedComment ref="P16" dT="2020-07-15T22:16:09.20" personId="{B197FF4F-6885-4D6E-BF28-495500DC3A64}" id="{48393857-62A5-43C7-B04C-095B43690652}">
    <text>Appraised Value: $576,450
Listing Value - July 15, 2020: $539,900</text>
  </threadedComment>
  <threadedComment ref="AI16" dT="2021-06-28T18:44:58.48" personId="{B197FF4F-6885-4D6E-BF28-495500DC3A64}" id="{6EA348D8-09F4-43B9-84A1-ABF4232974A6}">
    <text>funded based on 100% completion</text>
  </threadedComment>
  <threadedComment ref="P17" dT="2020-07-15T22:17:16.28" personId="{B197FF4F-6885-4D6E-BF28-495500DC3A64}" id="{B4C34EFA-0B1E-417F-A24B-2C1C16D552D7}">
    <text>Appraised Value: $571,200
Listing Value - July 15, 2020: $539,900</text>
  </threadedComment>
  <threadedComment ref="AI17" dT="2021-06-28T18:44:58.48" personId="{B197FF4F-6885-4D6E-BF28-495500DC3A64}" id="{EDF8B4C2-5C1F-42EF-8A2F-A83517CF889A}">
    <text>funded based on 100% completion</text>
  </threadedComment>
  <threadedComment ref="P18" dT="2020-07-15T22:17:43.84" personId="{B197FF4F-6885-4D6E-BF28-495500DC3A64}" id="{748950C5-EA40-4862-AD5F-9E9A0AECB200}">
    <text>Appraised Value: $576,450
Listing Value - July 15, 2020: $539,900</text>
  </threadedComment>
  <threadedComment ref="AI18" dT="2021-06-28T18:44:58.48" personId="{B197FF4F-6885-4D6E-BF28-495500DC3A64}" id="{2B601436-9E39-4181-B49F-9914D5F326B5}">
    <text>funded based on 100% completion</text>
  </threadedComment>
  <threadedComment ref="AI19" dT="2021-06-28T18:44:46.15" personId="{B197FF4F-6885-4D6E-BF28-495500DC3A64}" id="{F069B62E-A77A-40A8-A3B6-2AA16ECF51C2}">
    <text>Funded based on 100% completion</text>
  </threadedComment>
  <threadedComment ref="AI20" dT="2021-06-28T18:44:46.15" personId="{B197FF4F-6885-4D6E-BF28-495500DC3A64}" id="{4D1FF035-0342-4076-A5CA-93F2D2683FEA}">
    <text>Funded based on 100% completion</text>
  </threadedComment>
  <threadedComment ref="AI21" dT="2021-06-28T18:44:46.15" personId="{B197FF4F-6885-4D6E-BF28-495500DC3A64}" id="{DDD26655-254B-444E-B41F-73C5F62CF86B}">
    <text>Funded based on 100% completion</text>
  </threadedComment>
  <threadedComment ref="X23" dT="2021-04-27T23:13:35.32" personId="{B197FF4F-6885-4D6E-BF28-495500DC3A64}" id="{A027777C-36BE-4F9B-8AB9-7B09D437AFC3}">
    <text>Construction financing maximum value in Chestermere limited to $800K per commitment letter terms</text>
  </threadedComment>
  <threadedComment ref="P24" dT="2021-04-09T16:35:38.49" personId="{ED13ECF8-52FC-49B1-A9D6-D8B51C0751BE}" id="{5D640889-87FB-40DE-B50D-EC656DD8C14F}">
    <text>does not contemplate change orders</text>
  </threadedComment>
  <threadedComment ref="AV24" dT="2021-04-09T16:41:55.86" personId="{ED13ECF8-52FC-49B1-A9D6-D8B51C0751BE}" id="{4765B49C-094F-4354-B971-D2D0C3AEBA84}">
    <text>including change orders</text>
  </threadedComment>
</ThreadedComments>
</file>

<file path=xl/threadedComments/threadedComment2.xml><?xml version="1.0" encoding="utf-8"?>
<ThreadedComments xmlns="http://schemas.microsoft.com/office/spreadsheetml/2018/threadedcomments" xmlns:x="http://schemas.openxmlformats.org/spreadsheetml/2006/main">
  <threadedComment ref="AI11" dT="2020-12-16T19:00:04.33" personId="{B197FF4F-6885-4D6E-BF28-495500DC3A64}" id="{E6347743-3C55-4401-A63E-0D8B6F94A423}">
    <text>Last progress inspection as of December 14, 2020 indicates 98.8% complete. Property has been advanced on based on 100% completion</text>
  </threadedComment>
  <threadedComment ref="H13" dT="2020-10-28T21:35:05.31" personId="{B197FF4F-6885-4D6E-BF28-495500DC3A64}" id="{013A4960-9809-4857-87F5-9ECCA91A5EC7}">
    <text>Notified on October 9, 2020 that the purchaser had to walk away from the sale and their 15% deposit as a result of loss of employment due to COVID-19</text>
  </threadedComment>
  <threadedComment ref="P15" dT="2020-07-15T22:16:44.17" personId="{B197FF4F-6885-4D6E-BF28-495500DC3A64}" id="{AC03A5EB-D92F-4314-84AE-74B7E011307C}">
    <text>Appraised Value: $571,200
Listing Value - July 15, 2020: $539,900</text>
  </threadedComment>
  <threadedComment ref="H16" dT="2021-03-09T15:02:26.62" personId="{B197FF4F-6885-4D6E-BF28-495500DC3A64}" id="{561F104C-672F-4C71-BDE3-86C1D56D0B76}">
    <text>Pre-sold status awarded even though a 10% deposit/financing letter from bank was not received on this sale. Sale closes in early to mid April and UW is to closely monitor the closing of this sale. If it does not close on time or falls through, UW to reduce leverage and take a higher payout on another unit closing or a reduced future advance.</text>
  </threadedComment>
  <threadedComment ref="P17" dT="2020-07-15T22:16:09.20" personId="{B197FF4F-6885-4D6E-BF28-495500DC3A64}" id="{0424C3F4-67C7-4C74-A808-8F7DC3FB4119}">
    <text>Appraised Value: $576,450
Listing Value - July 15, 2020: $539,900</text>
  </threadedComment>
  <threadedComment ref="AI17" dT="2021-06-28T18:44:58.48" personId="{B197FF4F-6885-4D6E-BF28-495500DC3A64}" id="{B756DF26-1026-480F-9F41-EB7CF8B2519F}">
    <text>funded based on 100% completion</text>
  </threadedComment>
  <threadedComment ref="P18" dT="2020-07-15T22:17:16.28" personId="{B197FF4F-6885-4D6E-BF28-495500DC3A64}" id="{6439F929-55B2-41C9-95B1-57E7B59446B0}">
    <text>Appraised Value: $571,200
Listing Value - July 15, 2020: $539,900</text>
  </threadedComment>
  <threadedComment ref="AI18" dT="2021-06-28T18:44:58.48" personId="{B197FF4F-6885-4D6E-BF28-495500DC3A64}" id="{C9C9C3C0-F64E-4376-A153-4899790CC2C9}">
    <text>funded based on 100% completion</text>
  </threadedComment>
  <threadedComment ref="P19" dT="2020-07-15T22:17:43.84" personId="{B197FF4F-6885-4D6E-BF28-495500DC3A64}" id="{83E5BAC8-497B-41BA-8888-72C8D64F7131}">
    <text>Appraised Value: $576,450
Listing Value - July 15, 2020: $539,900</text>
  </threadedComment>
  <threadedComment ref="AI19" dT="2021-06-28T18:44:58.48" personId="{B197FF4F-6885-4D6E-BF28-495500DC3A64}" id="{C70131CE-00C3-4A78-9A88-0447EF669758}">
    <text>funded based on 100% completion</text>
  </threadedComment>
  <threadedComment ref="AI20" dT="2021-06-28T18:44:46.15" personId="{B197FF4F-6885-4D6E-BF28-495500DC3A64}" id="{CE762B0A-3B19-4DEA-8749-FE5C3E22D4FA}">
    <text>Funded based on 100% completion</text>
  </threadedComment>
  <threadedComment ref="AI21" dT="2021-06-28T18:44:46.15" personId="{B197FF4F-6885-4D6E-BF28-495500DC3A64}" id="{9DADE8CE-EF2E-438B-958C-480F60F837BB}">
    <text>Funded based on 100% completion</text>
  </threadedComment>
  <threadedComment ref="AI22" dT="2021-06-28T18:44:46.15" personId="{B197FF4F-6885-4D6E-BF28-495500DC3A64}" id="{500FD2E0-32A7-49B6-891E-52128693EB8B}">
    <text>Funded based on 100% completion</text>
  </threadedComment>
  <threadedComment ref="X24" dT="2021-04-27T23:13:35.32" personId="{B197FF4F-6885-4D6E-BF28-495500DC3A64}" id="{DF8CA7B2-5FA7-4D10-AF7A-E452A2488873}">
    <text>Construction financing maximum value in Chestermere limited to $800K per commitment letter terms</text>
  </threadedComment>
  <threadedComment ref="P25" dT="2021-04-09T16:35:38.49" personId="{ED13ECF8-52FC-49B1-A9D6-D8B51C0751BE}" id="{F340801A-FB1E-450B-85AD-E8B0D8806DBA}">
    <text>does not contemplate change orders</text>
  </threadedComment>
  <threadedComment ref="AV25" dT="2021-04-09T16:41:55.86" personId="{ED13ECF8-52FC-49B1-A9D6-D8B51C0751BE}" id="{B75AAED4-F822-48E8-8631-731B8A67A57A}">
    <text>including change orders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honestdoor.com/listing/172-southborough-common-cochrane-ab-a2273094" TargetMode="External"/><Relationship Id="rId3" Type="http://schemas.openxmlformats.org/officeDocument/2006/relationships/hyperlink" Target="https://www.honestdoor.com/listing/47-heritage-heath-cochrane-ab-a2262943" TargetMode="External"/><Relationship Id="rId7" Type="http://schemas.openxmlformats.org/officeDocument/2006/relationships/hyperlink" Target="https://www.honestdoor.com/listing/8-vantage-drive-cochrane-ab-a2236578" TargetMode="External"/><Relationship Id="rId12" Type="http://schemas.openxmlformats.org/officeDocument/2006/relationships/drawing" Target="../drawings/drawing1.xml"/><Relationship Id="rId2" Type="http://schemas.openxmlformats.org/officeDocument/2006/relationships/hyperlink" Target="https://www.honestdoor.com/listing/76-heritage-ridge-cochrane-ab-a2264834" TargetMode="External"/><Relationship Id="rId1" Type="http://schemas.openxmlformats.org/officeDocument/2006/relationships/hyperlink" Target="https://www.honestdoor.com/listing/68-heritage-ridge-cochrane-ab-a2273193" TargetMode="External"/><Relationship Id="rId6" Type="http://schemas.openxmlformats.org/officeDocument/2006/relationships/hyperlink" Target="https://www.honestdoor.com/listing/543-rivercrest-view-cochrane-ab-a2183651" TargetMode="External"/><Relationship Id="rId11" Type="http://schemas.openxmlformats.org/officeDocument/2006/relationships/printerSettings" Target="../printerSettings/printerSettings2.bin"/><Relationship Id="rId5" Type="http://schemas.openxmlformats.org/officeDocument/2006/relationships/hyperlink" Target="https://www.honestdoor.com/listing/20-quartz-crescent-cochrane-ab-a2184794" TargetMode="External"/><Relationship Id="rId10" Type="http://schemas.openxmlformats.org/officeDocument/2006/relationships/hyperlink" Target="https://www.realtor.ca/real-estate/29333778/53-heritage-park-cochrane-heritage-hills" TargetMode="External"/><Relationship Id="rId4" Type="http://schemas.openxmlformats.org/officeDocument/2006/relationships/hyperlink" Target="https://www.honestdoor.com/listing/116-heritage-boulevard-cochrane-ab-a2206102" TargetMode="External"/><Relationship Id="rId9" Type="http://schemas.openxmlformats.org/officeDocument/2006/relationships/hyperlink" Target="https://www.honestdoor.com/listing/25-southborough-square-cochrane-ab-a2201989"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EFC2-C68A-4DA8-AAC1-22CC6EE6D1A3}">
  <dimension ref="B1:M198"/>
  <sheetViews>
    <sheetView showGridLines="0" tabSelected="1" zoomScaleNormal="100" workbookViewId="0">
      <selection activeCell="H36" sqref="H36"/>
    </sheetView>
  </sheetViews>
  <sheetFormatPr defaultColWidth="9.33203125" defaultRowHeight="13.8" x14ac:dyDescent="0.3"/>
  <cols>
    <col min="1" max="1" width="4.109375" style="60" customWidth="1"/>
    <col min="2" max="2" width="39.5546875" style="60" bestFit="1" customWidth="1"/>
    <col min="3" max="3" width="13.33203125" style="60" customWidth="1"/>
    <col min="4" max="4" width="16.44140625" style="65" customWidth="1"/>
    <col min="5" max="5" width="2.6640625" style="65" bestFit="1" customWidth="1"/>
    <col min="6" max="6" width="19.44140625" style="65" bestFit="1" customWidth="1"/>
    <col min="7" max="7" width="10.5546875" style="60" bestFit="1" customWidth="1"/>
    <col min="8" max="8" width="11.6640625" style="77" bestFit="1" customWidth="1"/>
    <col min="9" max="9" width="19.33203125" style="78" bestFit="1" customWidth="1"/>
    <col min="10" max="10" width="15.33203125" style="65" customWidth="1"/>
    <col min="11" max="11" width="9.33203125" style="60"/>
    <col min="12" max="13" width="11.6640625" style="60" bestFit="1" customWidth="1"/>
    <col min="14" max="16384" width="9.33203125" style="60"/>
  </cols>
  <sheetData>
    <row r="1" spans="2:13" ht="14.4" x14ac:dyDescent="0.3">
      <c r="E1"/>
    </row>
    <row r="2" spans="2:13" s="55" customFormat="1" ht="23.4" x14ac:dyDescent="0.3">
      <c r="B2" s="53" t="s">
        <v>391</v>
      </c>
      <c r="C2" s="53"/>
      <c r="D2" s="54"/>
      <c r="E2"/>
      <c r="F2" s="54"/>
      <c r="H2" s="56"/>
      <c r="I2" s="57"/>
      <c r="J2" s="54"/>
    </row>
    <row r="3" spans="2:13" ht="18" x14ac:dyDescent="0.3">
      <c r="B3" s="82" t="s">
        <v>389</v>
      </c>
      <c r="C3" s="82"/>
      <c r="D3" s="58"/>
      <c r="E3"/>
      <c r="F3" s="58"/>
      <c r="H3" s="60"/>
      <c r="I3" s="61"/>
      <c r="J3" s="60"/>
    </row>
    <row r="4" spans="2:13" ht="15.6" x14ac:dyDescent="0.3">
      <c r="B4" s="62" t="s">
        <v>0</v>
      </c>
      <c r="C4" s="62"/>
      <c r="D4" s="58"/>
      <c r="E4"/>
      <c r="F4" s="58"/>
      <c r="H4" s="60"/>
      <c r="I4" s="61"/>
      <c r="J4" s="60"/>
    </row>
    <row r="5" spans="2:13" ht="15.6" x14ac:dyDescent="0.3">
      <c r="B5" s="62"/>
      <c r="C5" s="62"/>
      <c r="D5" s="58"/>
      <c r="E5"/>
      <c r="F5" s="58"/>
      <c r="H5" s="60"/>
      <c r="I5" s="61"/>
      <c r="J5" s="60"/>
    </row>
    <row r="6" spans="2:13" ht="14.4" x14ac:dyDescent="0.3">
      <c r="B6" s="81" t="s">
        <v>1</v>
      </c>
      <c r="C6"/>
      <c r="D6" s="58"/>
      <c r="E6"/>
      <c r="F6" s="58"/>
      <c r="H6" s="60"/>
      <c r="I6" s="61"/>
      <c r="J6" s="60"/>
    </row>
    <row r="7" spans="2:13" ht="14.4" x14ac:dyDescent="0.3">
      <c r="B7" s="63" t="s">
        <v>2</v>
      </c>
      <c r="C7" s="63"/>
      <c r="D7" s="116"/>
      <c r="E7"/>
      <c r="F7" s="58"/>
      <c r="H7" s="60"/>
      <c r="I7" s="61"/>
      <c r="J7" s="60"/>
    </row>
    <row r="8" spans="2:13" ht="14.4" x14ac:dyDescent="0.3">
      <c r="E8"/>
    </row>
    <row r="9" spans="2:13" ht="16.2" thickBot="1" x14ac:dyDescent="0.35">
      <c r="B9" s="83" t="s">
        <v>3</v>
      </c>
      <c r="C9" s="83"/>
      <c r="D9" s="64"/>
      <c r="E9" s="265"/>
      <c r="F9" s="266"/>
      <c r="H9" s="66"/>
      <c r="I9" s="66"/>
      <c r="J9" s="66"/>
    </row>
    <row r="10" spans="2:13" ht="14.4" x14ac:dyDescent="0.3">
      <c r="B10" s="84" t="s">
        <v>4</v>
      </c>
      <c r="C10" s="149" t="s">
        <v>5</v>
      </c>
      <c r="D10" s="147">
        <v>2310771</v>
      </c>
      <c r="E10" s="265"/>
      <c r="F10" s="266"/>
      <c r="H10" s="63"/>
      <c r="I10" s="63"/>
      <c r="J10" s="63"/>
      <c r="K10" s="63"/>
      <c r="L10" s="67"/>
      <c r="M10" s="67"/>
    </row>
    <row r="11" spans="2:13" ht="15" customHeight="1" x14ac:dyDescent="0.3">
      <c r="B11" s="84" t="s">
        <v>6</v>
      </c>
      <c r="C11" s="149" t="s">
        <v>5</v>
      </c>
      <c r="D11" s="147">
        <v>53</v>
      </c>
      <c r="E11" s="265"/>
      <c r="F11" s="266"/>
      <c r="H11" s="63"/>
      <c r="I11" s="63"/>
      <c r="J11" s="63"/>
      <c r="K11" s="68"/>
      <c r="L11" s="69"/>
      <c r="M11" s="70"/>
    </row>
    <row r="12" spans="2:13" ht="14.4" x14ac:dyDescent="0.3">
      <c r="B12" s="84" t="s">
        <v>7</v>
      </c>
      <c r="C12" s="149" t="s">
        <v>5</v>
      </c>
      <c r="D12" s="147">
        <v>12</v>
      </c>
      <c r="E12" s="265"/>
      <c r="F12" s="266"/>
      <c r="H12" s="63"/>
      <c r="I12" s="63"/>
      <c r="J12" s="63"/>
      <c r="K12" s="68"/>
      <c r="L12" s="69"/>
      <c r="M12" s="70"/>
    </row>
    <row r="13" spans="2:13" ht="14.4" x14ac:dyDescent="0.3">
      <c r="B13" s="84" t="s">
        <v>8</v>
      </c>
      <c r="C13" s="59"/>
      <c r="D13" s="71"/>
      <c r="E13" s="265"/>
      <c r="F13" s="266"/>
      <c r="H13" s="63"/>
      <c r="I13" s="63"/>
      <c r="J13" s="63"/>
      <c r="K13" s="68"/>
      <c r="L13" s="68"/>
      <c r="M13" s="72"/>
    </row>
    <row r="14" spans="2:13" ht="14.4" x14ac:dyDescent="0.3">
      <c r="B14" s="84" t="s">
        <v>9</v>
      </c>
      <c r="C14" s="59"/>
      <c r="D14" s="147" t="s">
        <v>306</v>
      </c>
      <c r="E14" s="265"/>
      <c r="F14" s="266"/>
      <c r="H14" s="63"/>
      <c r="I14" s="63"/>
      <c r="J14" s="63"/>
      <c r="K14" s="63"/>
      <c r="L14" s="63"/>
      <c r="M14" s="63"/>
    </row>
    <row r="15" spans="2:13" ht="14.4" x14ac:dyDescent="0.3">
      <c r="B15" s="84" t="s">
        <v>10</v>
      </c>
      <c r="C15" s="149" t="s">
        <v>11</v>
      </c>
      <c r="D15" s="147"/>
      <c r="E15" s="265"/>
      <c r="F15" s="266"/>
      <c r="H15" s="63"/>
      <c r="I15" s="63"/>
      <c r="J15" s="63"/>
      <c r="K15" s="63"/>
      <c r="L15" s="63"/>
      <c r="M15" s="63"/>
    </row>
    <row r="16" spans="2:13" ht="14.4" x14ac:dyDescent="0.3">
      <c r="B16" s="84" t="s">
        <v>12</v>
      </c>
      <c r="C16" s="149" t="s">
        <v>5</v>
      </c>
      <c r="D16" s="147">
        <v>2026</v>
      </c>
      <c r="E16" s="265"/>
      <c r="F16" s="266"/>
      <c r="H16" s="63"/>
      <c r="I16" s="63"/>
      <c r="J16" s="63"/>
      <c r="K16" s="63"/>
      <c r="L16" s="63"/>
      <c r="M16" s="63"/>
    </row>
    <row r="17" spans="2:13" ht="14.4" x14ac:dyDescent="0.3">
      <c r="B17" s="84"/>
      <c r="C17" s="59"/>
      <c r="D17" s="116"/>
      <c r="E17" s="265"/>
      <c r="F17" s="266"/>
      <c r="H17" s="63"/>
      <c r="I17" s="63"/>
      <c r="J17" s="63"/>
      <c r="K17" s="63"/>
      <c r="L17" s="63"/>
      <c r="M17" s="63"/>
    </row>
    <row r="18" spans="2:13" ht="14.4" x14ac:dyDescent="0.3">
      <c r="B18" s="84" t="s">
        <v>13</v>
      </c>
      <c r="C18" s="149" t="s">
        <v>14</v>
      </c>
      <c r="D18" s="148">
        <v>342</v>
      </c>
      <c r="E18" s="265"/>
      <c r="F18" s="266"/>
      <c r="H18" s="63"/>
      <c r="I18" s="63"/>
      <c r="J18" s="63"/>
      <c r="K18" s="63"/>
      <c r="L18" s="63"/>
      <c r="M18" s="63"/>
    </row>
    <row r="19" spans="2:13" s="66" customFormat="1" ht="14.4" x14ac:dyDescent="0.3">
      <c r="B19" s="85" t="s">
        <v>15</v>
      </c>
      <c r="C19" s="149" t="s">
        <v>16</v>
      </c>
      <c r="D19" s="181">
        <f>D18*10.7639</f>
        <v>3681.2538</v>
      </c>
      <c r="E19" s="265"/>
      <c r="F19" s="266"/>
      <c r="G19" s="60"/>
      <c r="H19" s="63"/>
      <c r="I19" s="63"/>
      <c r="J19" s="63"/>
      <c r="K19" s="63"/>
      <c r="L19" s="63"/>
      <c r="M19" s="63"/>
    </row>
    <row r="20" spans="2:13" s="66" customFormat="1" ht="14.4" x14ac:dyDescent="0.3">
      <c r="B20" s="85" t="s">
        <v>17</v>
      </c>
      <c r="C20" s="149" t="s">
        <v>16</v>
      </c>
      <c r="D20" s="148">
        <v>2338</v>
      </c>
      <c r="E20" s="265"/>
      <c r="F20" s="267"/>
      <c r="G20" s="60"/>
      <c r="H20" s="67"/>
      <c r="I20" s="63"/>
      <c r="J20" s="67"/>
      <c r="K20" s="67"/>
      <c r="L20" s="67"/>
      <c r="M20" s="63"/>
    </row>
    <row r="21" spans="2:13" s="61" customFormat="1" ht="14.4" x14ac:dyDescent="0.3">
      <c r="B21" s="84"/>
      <c r="C21" s="84"/>
      <c r="D21" s="116"/>
      <c r="E21" s="265"/>
      <c r="F21" s="268"/>
      <c r="G21" s="66"/>
      <c r="H21" s="75"/>
      <c r="I21" s="76"/>
      <c r="J21" s="74"/>
      <c r="K21" s="72"/>
      <c r="L21" s="72"/>
      <c r="M21" s="63"/>
    </row>
    <row r="22" spans="2:13" s="79" customFormat="1" ht="14.4" x14ac:dyDescent="0.3">
      <c r="B22" s="86" t="s">
        <v>18</v>
      </c>
      <c r="C22" s="149" t="s">
        <v>11</v>
      </c>
      <c r="D22" s="148">
        <v>203700</v>
      </c>
      <c r="E22" s="265"/>
      <c r="F22" s="268"/>
      <c r="G22" s="66"/>
      <c r="H22" s="73"/>
      <c r="I22" s="66"/>
      <c r="J22" s="66"/>
    </row>
    <row r="23" spans="2:13" s="79" customFormat="1" ht="14.4" x14ac:dyDescent="0.3">
      <c r="B23" s="86" t="s">
        <v>19</v>
      </c>
      <c r="C23" s="149" t="s">
        <v>11</v>
      </c>
      <c r="D23" s="148"/>
      <c r="E23" s="265"/>
      <c r="F23" s="268"/>
      <c r="G23" s="66"/>
      <c r="H23" s="73"/>
      <c r="I23" s="66"/>
      <c r="J23" s="66"/>
    </row>
    <row r="24" spans="2:13" s="61" customFormat="1" ht="14.4" x14ac:dyDescent="0.3">
      <c r="B24" s="87" t="s">
        <v>20</v>
      </c>
      <c r="C24" s="149" t="s">
        <v>11</v>
      </c>
      <c r="D24" s="148">
        <f>240000</f>
        <v>240000</v>
      </c>
      <c r="E24" s="265"/>
      <c r="F24" s="268"/>
    </row>
    <row r="25" spans="2:13" s="61" customFormat="1" ht="14.4" x14ac:dyDescent="0.3">
      <c r="B25" s="87"/>
      <c r="C25" s="149"/>
      <c r="D25" s="239"/>
      <c r="E25" s="265"/>
      <c r="F25" s="268"/>
    </row>
    <row r="26" spans="2:13" s="61" customFormat="1" ht="14.4" x14ac:dyDescent="0.3">
      <c r="B26" s="86" t="s">
        <v>21</v>
      </c>
      <c r="C26" s="149" t="s">
        <v>11</v>
      </c>
      <c r="D26" s="148">
        <f>'Land UW'!D33</f>
        <v>212711.88333333333</v>
      </c>
      <c r="E26" s="265"/>
      <c r="F26" s="268"/>
    </row>
    <row r="27" spans="2:13" s="61" customFormat="1" ht="14.4" x14ac:dyDescent="0.3">
      <c r="B27" s="87" t="s">
        <v>22</v>
      </c>
      <c r="C27" s="149" t="s">
        <v>23</v>
      </c>
      <c r="D27" s="239">
        <f>D26/'Land UW'!L3</f>
        <v>6276.33881561408</v>
      </c>
      <c r="E27" s="265"/>
      <c r="F27" s="268"/>
    </row>
    <row r="28" spans="2:13" s="79" customFormat="1" ht="14.4" x14ac:dyDescent="0.3">
      <c r="B28" s="84"/>
      <c r="C28" s="84" t="s">
        <v>24</v>
      </c>
      <c r="D28" s="116"/>
      <c r="E28" s="265"/>
      <c r="F28" s="268"/>
    </row>
    <row r="29" spans="2:13" ht="14.4" x14ac:dyDescent="0.3">
      <c r="B29" s="86" t="s">
        <v>25</v>
      </c>
      <c r="C29" s="149" t="s">
        <v>11</v>
      </c>
      <c r="D29" s="148"/>
      <c r="E29" s="265"/>
      <c r="F29" s="268"/>
      <c r="G29" s="61"/>
      <c r="H29" s="60"/>
      <c r="I29" s="60"/>
      <c r="J29" s="60"/>
    </row>
    <row r="30" spans="2:13" ht="14.4" x14ac:dyDescent="0.3">
      <c r="B30" s="87" t="s">
        <v>26</v>
      </c>
      <c r="C30" s="149" t="s">
        <v>27</v>
      </c>
      <c r="D30" s="151">
        <f>D29/D20</f>
        <v>0</v>
      </c>
      <c r="E30" s="265"/>
      <c r="F30" s="268"/>
      <c r="G30" s="79"/>
      <c r="H30" s="60"/>
      <c r="I30" s="60"/>
      <c r="J30" s="60"/>
    </row>
    <row r="31" spans="2:13" ht="14.4" x14ac:dyDescent="0.3">
      <c r="B31" s="84"/>
      <c r="C31" s="84"/>
      <c r="D31" s="116"/>
      <c r="E31" s="265"/>
      <c r="F31" s="268"/>
      <c r="H31" s="60"/>
      <c r="I31" s="60"/>
      <c r="J31" s="60"/>
    </row>
    <row r="32" spans="2:13" ht="14.4" x14ac:dyDescent="0.3">
      <c r="B32" s="86" t="s">
        <v>28</v>
      </c>
      <c r="C32" s="149" t="s">
        <v>11</v>
      </c>
      <c r="D32" s="172">
        <f>'Property Comparables'!D65</f>
        <v>818300</v>
      </c>
      <c r="E32" s="265"/>
      <c r="F32" s="269"/>
      <c r="H32" s="60"/>
      <c r="I32" s="60"/>
      <c r="J32" s="60"/>
    </row>
    <row r="33" spans="2:10" ht="14.4" x14ac:dyDescent="0.3">
      <c r="B33" s="84" t="s">
        <v>29</v>
      </c>
      <c r="C33" s="149"/>
      <c r="D33" s="150">
        <f>D32-(D32/1.05)</f>
        <v>38966.666666666744</v>
      </c>
      <c r="E33" s="265"/>
      <c r="F33" s="269"/>
      <c r="H33" s="60"/>
      <c r="I33" s="60"/>
      <c r="J33" s="60"/>
    </row>
    <row r="34" spans="2:10" ht="14.4" x14ac:dyDescent="0.3">
      <c r="B34" s="86" t="s">
        <v>392</v>
      </c>
      <c r="C34" s="149"/>
      <c r="D34" s="150">
        <f>IF(ISBLANK(D32),"",D32-D33)</f>
        <v>779333.33333333326</v>
      </c>
      <c r="E34" s="265"/>
      <c r="F34" s="269"/>
      <c r="H34" s="60"/>
      <c r="I34" s="60"/>
      <c r="J34" s="60"/>
    </row>
    <row r="35" spans="2:10" ht="14.4" x14ac:dyDescent="0.3">
      <c r="B35" s="87" t="s">
        <v>31</v>
      </c>
      <c r="C35" s="149" t="s">
        <v>27</v>
      </c>
      <c r="D35" s="151">
        <f>IFERROR(D32/D20,"n/a")</f>
        <v>350</v>
      </c>
      <c r="E35" s="265"/>
      <c r="F35" s="270"/>
      <c r="H35" s="60"/>
      <c r="I35" s="60"/>
      <c r="J35" s="60"/>
    </row>
    <row r="36" spans="2:10" ht="14.4" x14ac:dyDescent="0.3">
      <c r="B36" s="84"/>
      <c r="C36" s="84"/>
      <c r="D36" s="116"/>
      <c r="E36" s="265"/>
      <c r="F36" s="270"/>
      <c r="G36" s="59"/>
      <c r="H36" s="60"/>
      <c r="I36" s="60"/>
      <c r="J36" s="60"/>
    </row>
    <row r="37" spans="2:10" ht="14.4" x14ac:dyDescent="0.3">
      <c r="B37" s="84" t="str">
        <f>IF(B4="Presold","Presale Price","List Price")</f>
        <v>Presale Price</v>
      </c>
      <c r="C37" s="149" t="s">
        <v>11</v>
      </c>
      <c r="D37" s="178">
        <v>916000</v>
      </c>
      <c r="E37" s="265"/>
      <c r="F37" s="268"/>
      <c r="G37" s="59"/>
      <c r="H37" s="60"/>
      <c r="I37" s="60"/>
      <c r="J37" s="60"/>
    </row>
    <row r="38" spans="2:10" ht="14.4" x14ac:dyDescent="0.3">
      <c r="B38" s="84" t="s">
        <v>29</v>
      </c>
      <c r="C38" s="149" t="s">
        <v>11</v>
      </c>
      <c r="D38" s="150">
        <f>D37-(D37/1.05)</f>
        <v>43619.047619047691</v>
      </c>
      <c r="E38" s="265"/>
      <c r="F38" s="266"/>
      <c r="G38" s="59"/>
      <c r="H38" s="60"/>
      <c r="I38" s="60"/>
      <c r="J38" s="60"/>
    </row>
    <row r="39" spans="2:10" ht="14.4" x14ac:dyDescent="0.3">
      <c r="B39" s="86" t="s">
        <v>30</v>
      </c>
      <c r="C39" s="149" t="s">
        <v>11</v>
      </c>
      <c r="D39" s="150">
        <f>IF(ISBLANK(D37),"",D37-D38)</f>
        <v>872380.95238095231</v>
      </c>
      <c r="E39" s="265"/>
      <c r="F39" s="71"/>
      <c r="H39" s="60"/>
      <c r="I39" s="60"/>
      <c r="J39" s="60"/>
    </row>
    <row r="40" spans="2:10" ht="14.4" x14ac:dyDescent="0.3">
      <c r="B40" s="87" t="s">
        <v>33</v>
      </c>
      <c r="C40" s="149" t="s">
        <v>27</v>
      </c>
      <c r="D40" s="151">
        <f>IFERROR(D37/D20,"n/a")</f>
        <v>391.78785286569718</v>
      </c>
      <c r="E40" s="265"/>
      <c r="F40" s="266"/>
      <c r="H40" s="60"/>
      <c r="I40" s="60"/>
      <c r="J40" s="60"/>
    </row>
    <row r="41" spans="2:10" ht="14.4" x14ac:dyDescent="0.3">
      <c r="B41" s="87"/>
      <c r="C41" s="149"/>
      <c r="D41" s="151"/>
      <c r="E41" s="265"/>
      <c r="F41" s="266"/>
      <c r="H41" s="60"/>
      <c r="I41" s="60"/>
      <c r="J41" s="60"/>
    </row>
    <row r="42" spans="2:10" ht="14.4" x14ac:dyDescent="0.3">
      <c r="B42" s="88" t="s">
        <v>34</v>
      </c>
      <c r="C42" s="149" t="s">
        <v>11</v>
      </c>
      <c r="D42" s="241">
        <v>505000</v>
      </c>
      <c r="E42" s="265"/>
      <c r="F42" s="271"/>
      <c r="H42" s="60"/>
      <c r="I42" s="60"/>
      <c r="J42" s="60"/>
    </row>
    <row r="43" spans="2:10" ht="14.4" x14ac:dyDescent="0.3">
      <c r="B43" s="86" t="s">
        <v>35</v>
      </c>
      <c r="C43" s="149" t="s">
        <v>11</v>
      </c>
      <c r="D43" s="150">
        <f>D42+D24</f>
        <v>745000</v>
      </c>
      <c r="E43" s="265"/>
      <c r="F43" s="266"/>
      <c r="H43" s="60"/>
      <c r="I43" s="60"/>
      <c r="J43" s="60"/>
    </row>
    <row r="44" spans="2:10" ht="14.4" x14ac:dyDescent="0.3">
      <c r="B44" s="86" t="s">
        <v>36</v>
      </c>
      <c r="C44" s="149" t="s">
        <v>27</v>
      </c>
      <c r="D44" s="150">
        <f>D42/D20</f>
        <v>215.99657827202736</v>
      </c>
      <c r="E44" s="265"/>
      <c r="F44" s="266"/>
      <c r="H44" s="60"/>
      <c r="I44" s="60"/>
      <c r="J44" s="60"/>
    </row>
    <row r="45" spans="2:10" s="61" customFormat="1" ht="15" customHeight="1" x14ac:dyDescent="0.3">
      <c r="B45" s="60"/>
      <c r="C45" s="60"/>
      <c r="D45" s="65"/>
      <c r="E45" s="265"/>
      <c r="F45" s="266"/>
    </row>
    <row r="46" spans="2:10" s="80" customFormat="1" ht="15" customHeight="1" x14ac:dyDescent="0.3">
      <c r="B46" s="60"/>
      <c r="C46" s="60"/>
      <c r="D46" s="65"/>
      <c r="E46" s="265"/>
      <c r="F46" s="272"/>
    </row>
    <row r="47" spans="2:10" x14ac:dyDescent="0.3">
      <c r="E47" s="266"/>
      <c r="F47" s="273"/>
      <c r="H47" s="60"/>
      <c r="I47" s="60"/>
      <c r="J47" s="60"/>
    </row>
    <row r="48" spans="2:10" x14ac:dyDescent="0.3">
      <c r="E48" s="266"/>
      <c r="F48" s="273"/>
      <c r="H48" s="60"/>
      <c r="I48" s="60"/>
      <c r="J48" s="60"/>
    </row>
    <row r="49" spans="5:10" x14ac:dyDescent="0.3">
      <c r="E49" s="266"/>
      <c r="F49" s="273"/>
      <c r="H49" s="60"/>
      <c r="I49" s="60"/>
      <c r="J49" s="60"/>
    </row>
    <row r="50" spans="5:10" x14ac:dyDescent="0.3">
      <c r="E50" s="266"/>
      <c r="F50" s="273"/>
      <c r="H50" s="60"/>
      <c r="I50" s="60"/>
      <c r="J50" s="60"/>
    </row>
    <row r="51" spans="5:10" x14ac:dyDescent="0.3">
      <c r="E51" s="266"/>
      <c r="F51" s="273"/>
      <c r="H51" s="60"/>
      <c r="I51" s="60"/>
      <c r="J51" s="60"/>
    </row>
    <row r="52" spans="5:10" x14ac:dyDescent="0.3">
      <c r="E52" s="266"/>
      <c r="F52" s="273"/>
      <c r="H52" s="60"/>
      <c r="I52" s="60"/>
      <c r="J52" s="60"/>
    </row>
    <row r="53" spans="5:10" x14ac:dyDescent="0.3">
      <c r="E53" s="266"/>
      <c r="F53" s="273"/>
      <c r="H53" s="60"/>
      <c r="I53" s="60"/>
      <c r="J53" s="60"/>
    </row>
    <row r="54" spans="5:10" x14ac:dyDescent="0.3">
      <c r="E54" s="266"/>
      <c r="F54" s="273"/>
      <c r="H54" s="60"/>
      <c r="I54" s="60"/>
      <c r="J54" s="60"/>
    </row>
    <row r="55" spans="5:10" x14ac:dyDescent="0.3">
      <c r="E55" s="266"/>
      <c r="F55" s="273"/>
      <c r="H55" s="60"/>
      <c r="I55" s="60"/>
      <c r="J55" s="60"/>
    </row>
    <row r="56" spans="5:10" x14ac:dyDescent="0.3">
      <c r="E56" s="266"/>
      <c r="F56" s="273"/>
      <c r="H56" s="60"/>
      <c r="I56" s="60"/>
      <c r="J56" s="60"/>
    </row>
    <row r="57" spans="5:10" x14ac:dyDescent="0.3">
      <c r="E57" s="266"/>
      <c r="F57" s="273"/>
      <c r="H57" s="60"/>
      <c r="I57" s="60"/>
      <c r="J57" s="60"/>
    </row>
    <row r="58" spans="5:10" x14ac:dyDescent="0.3">
      <c r="E58" s="266"/>
      <c r="F58" s="273"/>
      <c r="H58" s="60"/>
      <c r="I58" s="60"/>
      <c r="J58" s="60"/>
    </row>
    <row r="59" spans="5:10" x14ac:dyDescent="0.3">
      <c r="E59" s="266"/>
      <c r="F59" s="273"/>
      <c r="H59" s="60"/>
      <c r="I59" s="60"/>
      <c r="J59" s="60"/>
    </row>
    <row r="60" spans="5:10" x14ac:dyDescent="0.3">
      <c r="E60" s="266"/>
      <c r="F60" s="273"/>
    </row>
    <row r="61" spans="5:10" x14ac:dyDescent="0.3">
      <c r="E61" s="266"/>
      <c r="F61" s="266"/>
    </row>
    <row r="62" spans="5:10" x14ac:dyDescent="0.3">
      <c r="E62" s="266"/>
      <c r="F62" s="266"/>
    </row>
    <row r="63" spans="5:10" x14ac:dyDescent="0.3">
      <c r="E63" s="266"/>
      <c r="F63" s="266"/>
    </row>
    <row r="64" spans="5:10" x14ac:dyDescent="0.3">
      <c r="E64" s="266"/>
      <c r="F64" s="266"/>
    </row>
    <row r="65" spans="5:6" x14ac:dyDescent="0.3">
      <c r="E65" s="266"/>
      <c r="F65" s="266"/>
    </row>
    <row r="66" spans="5:6" x14ac:dyDescent="0.3">
      <c r="E66" s="266"/>
      <c r="F66" s="266"/>
    </row>
    <row r="67" spans="5:6" x14ac:dyDescent="0.3">
      <c r="E67" s="266"/>
      <c r="F67" s="266"/>
    </row>
    <row r="68" spans="5:6" x14ac:dyDescent="0.3">
      <c r="E68" s="266"/>
      <c r="F68" s="266"/>
    </row>
    <row r="69" spans="5:6" x14ac:dyDescent="0.3">
      <c r="E69" s="266"/>
      <c r="F69" s="266"/>
    </row>
    <row r="70" spans="5:6" x14ac:dyDescent="0.3">
      <c r="E70" s="266"/>
      <c r="F70" s="266"/>
    </row>
    <row r="71" spans="5:6" x14ac:dyDescent="0.3">
      <c r="E71" s="266"/>
      <c r="F71" s="266"/>
    </row>
    <row r="72" spans="5:6" x14ac:dyDescent="0.3">
      <c r="E72" s="266"/>
      <c r="F72" s="266"/>
    </row>
    <row r="73" spans="5:6" x14ac:dyDescent="0.3">
      <c r="E73" s="266"/>
      <c r="F73" s="266"/>
    </row>
    <row r="74" spans="5:6" x14ac:dyDescent="0.3">
      <c r="E74" s="266"/>
      <c r="F74" s="266"/>
    </row>
    <row r="75" spans="5:6" x14ac:dyDescent="0.3">
      <c r="E75" s="266"/>
      <c r="F75" s="266"/>
    </row>
    <row r="76" spans="5:6" x14ac:dyDescent="0.3">
      <c r="E76" s="266"/>
      <c r="F76" s="266"/>
    </row>
    <row r="77" spans="5:6" x14ac:dyDescent="0.3">
      <c r="E77" s="266"/>
      <c r="F77" s="266"/>
    </row>
    <row r="78" spans="5:6" x14ac:dyDescent="0.3">
      <c r="E78" s="266"/>
      <c r="F78" s="266"/>
    </row>
    <row r="79" spans="5:6" x14ac:dyDescent="0.3">
      <c r="E79" s="266"/>
      <c r="F79" s="266"/>
    </row>
    <row r="80" spans="5:6" x14ac:dyDescent="0.3">
      <c r="E80" s="266"/>
      <c r="F80" s="266"/>
    </row>
    <row r="81" spans="5:6" x14ac:dyDescent="0.3">
      <c r="E81" s="266"/>
      <c r="F81" s="266"/>
    </row>
    <row r="82" spans="5:6" x14ac:dyDescent="0.3">
      <c r="E82" s="266"/>
      <c r="F82" s="266"/>
    </row>
    <row r="83" spans="5:6" x14ac:dyDescent="0.3">
      <c r="E83" s="266"/>
      <c r="F83" s="266"/>
    </row>
    <row r="84" spans="5:6" x14ac:dyDescent="0.3">
      <c r="E84" s="266"/>
      <c r="F84" s="266"/>
    </row>
    <row r="85" spans="5:6" x14ac:dyDescent="0.3">
      <c r="E85" s="266"/>
      <c r="F85" s="266"/>
    </row>
    <row r="86" spans="5:6" x14ac:dyDescent="0.3">
      <c r="E86" s="266"/>
      <c r="F86" s="266"/>
    </row>
    <row r="87" spans="5:6" x14ac:dyDescent="0.3">
      <c r="E87" s="266"/>
      <c r="F87" s="266"/>
    </row>
    <row r="88" spans="5:6" x14ac:dyDescent="0.3">
      <c r="E88" s="266"/>
      <c r="F88" s="266"/>
    </row>
    <row r="89" spans="5:6" x14ac:dyDescent="0.3">
      <c r="E89" s="266"/>
      <c r="F89" s="266"/>
    </row>
    <row r="90" spans="5:6" x14ac:dyDescent="0.3">
      <c r="E90" s="266"/>
      <c r="F90" s="266"/>
    </row>
    <row r="91" spans="5:6" x14ac:dyDescent="0.3">
      <c r="E91" s="266"/>
      <c r="F91" s="266"/>
    </row>
    <row r="92" spans="5:6" x14ac:dyDescent="0.3">
      <c r="E92" s="266"/>
      <c r="F92" s="266"/>
    </row>
    <row r="93" spans="5:6" x14ac:dyDescent="0.3">
      <c r="E93" s="266"/>
      <c r="F93" s="266"/>
    </row>
    <row r="94" spans="5:6" x14ac:dyDescent="0.3">
      <c r="E94" s="266"/>
      <c r="F94" s="266"/>
    </row>
    <row r="95" spans="5:6" x14ac:dyDescent="0.3">
      <c r="E95" s="266"/>
      <c r="F95" s="266"/>
    </row>
    <row r="96" spans="5:6" x14ac:dyDescent="0.3">
      <c r="E96" s="266"/>
      <c r="F96" s="266"/>
    </row>
    <row r="97" spans="5:6" x14ac:dyDescent="0.3">
      <c r="E97" s="266"/>
      <c r="F97" s="266"/>
    </row>
    <row r="98" spans="5:6" x14ac:dyDescent="0.3">
      <c r="E98" s="266"/>
      <c r="F98" s="266"/>
    </row>
    <row r="99" spans="5:6" x14ac:dyDescent="0.3">
      <c r="E99" s="266"/>
      <c r="F99" s="266"/>
    </row>
    <row r="100" spans="5:6" x14ac:dyDescent="0.3">
      <c r="E100" s="266"/>
      <c r="F100" s="266"/>
    </row>
    <row r="101" spans="5:6" x14ac:dyDescent="0.3">
      <c r="E101" s="266"/>
      <c r="F101" s="266"/>
    </row>
    <row r="102" spans="5:6" x14ac:dyDescent="0.3">
      <c r="E102" s="266"/>
      <c r="F102" s="266"/>
    </row>
    <row r="103" spans="5:6" x14ac:dyDescent="0.3">
      <c r="E103" s="266"/>
      <c r="F103" s="266"/>
    </row>
    <row r="104" spans="5:6" x14ac:dyDescent="0.3">
      <c r="E104" s="266"/>
      <c r="F104" s="266"/>
    </row>
    <row r="105" spans="5:6" x14ac:dyDescent="0.3">
      <c r="E105" s="266"/>
      <c r="F105" s="266"/>
    </row>
    <row r="106" spans="5:6" x14ac:dyDescent="0.3">
      <c r="E106" s="266"/>
      <c r="F106" s="266"/>
    </row>
    <row r="107" spans="5:6" x14ac:dyDescent="0.3">
      <c r="E107" s="266"/>
      <c r="F107" s="266"/>
    </row>
    <row r="108" spans="5:6" x14ac:dyDescent="0.3">
      <c r="E108" s="266"/>
      <c r="F108" s="266"/>
    </row>
    <row r="109" spans="5:6" x14ac:dyDescent="0.3">
      <c r="E109" s="266"/>
      <c r="F109" s="266"/>
    </row>
    <row r="110" spans="5:6" x14ac:dyDescent="0.3">
      <c r="E110" s="266"/>
      <c r="F110" s="266"/>
    </row>
    <row r="111" spans="5:6" x14ac:dyDescent="0.3">
      <c r="E111" s="266"/>
      <c r="F111" s="266"/>
    </row>
    <row r="112" spans="5:6" x14ac:dyDescent="0.3">
      <c r="E112" s="266"/>
      <c r="F112" s="266"/>
    </row>
    <row r="113" spans="5:6" x14ac:dyDescent="0.3">
      <c r="E113" s="266"/>
      <c r="F113" s="266"/>
    </row>
    <row r="114" spans="5:6" x14ac:dyDescent="0.3">
      <c r="E114" s="266"/>
      <c r="F114" s="266"/>
    </row>
    <row r="115" spans="5:6" x14ac:dyDescent="0.3">
      <c r="E115" s="266"/>
      <c r="F115" s="266"/>
    </row>
    <row r="116" spans="5:6" x14ac:dyDescent="0.3">
      <c r="E116" s="266"/>
      <c r="F116" s="266"/>
    </row>
    <row r="117" spans="5:6" x14ac:dyDescent="0.3">
      <c r="E117" s="266"/>
      <c r="F117" s="266"/>
    </row>
    <row r="118" spans="5:6" x14ac:dyDescent="0.3">
      <c r="E118" s="266"/>
      <c r="F118" s="266"/>
    </row>
    <row r="119" spans="5:6" x14ac:dyDescent="0.3">
      <c r="E119" s="266"/>
      <c r="F119" s="266"/>
    </row>
    <row r="120" spans="5:6" x14ac:dyDescent="0.3">
      <c r="E120" s="266"/>
      <c r="F120" s="266"/>
    </row>
    <row r="121" spans="5:6" x14ac:dyDescent="0.3">
      <c r="E121" s="266"/>
      <c r="F121" s="266"/>
    </row>
    <row r="122" spans="5:6" x14ac:dyDescent="0.3">
      <c r="E122" s="266"/>
      <c r="F122" s="266"/>
    </row>
    <row r="123" spans="5:6" x14ac:dyDescent="0.3">
      <c r="E123" s="266"/>
      <c r="F123" s="266"/>
    </row>
    <row r="124" spans="5:6" x14ac:dyDescent="0.3">
      <c r="E124" s="266"/>
      <c r="F124" s="266"/>
    </row>
    <row r="125" spans="5:6" x14ac:dyDescent="0.3">
      <c r="E125" s="266"/>
      <c r="F125" s="266"/>
    </row>
    <row r="126" spans="5:6" x14ac:dyDescent="0.3">
      <c r="E126" s="266"/>
      <c r="F126" s="266"/>
    </row>
    <row r="127" spans="5:6" x14ac:dyDescent="0.3">
      <c r="E127" s="266"/>
      <c r="F127" s="266"/>
    </row>
    <row r="128" spans="5:6" x14ac:dyDescent="0.3">
      <c r="E128" s="266"/>
      <c r="F128" s="266"/>
    </row>
    <row r="129" spans="5:6" x14ac:dyDescent="0.3">
      <c r="E129" s="266"/>
      <c r="F129" s="266"/>
    </row>
    <row r="130" spans="5:6" x14ac:dyDescent="0.3">
      <c r="E130" s="266"/>
      <c r="F130" s="266"/>
    </row>
    <row r="131" spans="5:6" x14ac:dyDescent="0.3">
      <c r="E131" s="266"/>
      <c r="F131" s="266"/>
    </row>
    <row r="132" spans="5:6" x14ac:dyDescent="0.3">
      <c r="E132" s="266"/>
      <c r="F132" s="266"/>
    </row>
    <row r="133" spans="5:6" x14ac:dyDescent="0.3">
      <c r="E133" s="266"/>
      <c r="F133" s="266"/>
    </row>
    <row r="134" spans="5:6" x14ac:dyDescent="0.3">
      <c r="E134" s="266"/>
      <c r="F134" s="266"/>
    </row>
    <row r="135" spans="5:6" x14ac:dyDescent="0.3">
      <c r="E135" s="266"/>
      <c r="F135" s="266"/>
    </row>
    <row r="136" spans="5:6" x14ac:dyDescent="0.3">
      <c r="E136" s="266"/>
      <c r="F136" s="266"/>
    </row>
    <row r="137" spans="5:6" x14ac:dyDescent="0.3">
      <c r="E137" s="266"/>
      <c r="F137" s="266"/>
    </row>
    <row r="138" spans="5:6" x14ac:dyDescent="0.3">
      <c r="E138" s="266"/>
      <c r="F138" s="266"/>
    </row>
    <row r="139" spans="5:6" x14ac:dyDescent="0.3">
      <c r="E139" s="266"/>
      <c r="F139" s="266"/>
    </row>
    <row r="140" spans="5:6" x14ac:dyDescent="0.3">
      <c r="E140" s="266"/>
      <c r="F140" s="266"/>
    </row>
    <row r="141" spans="5:6" x14ac:dyDescent="0.3">
      <c r="E141" s="266"/>
      <c r="F141" s="266"/>
    </row>
    <row r="142" spans="5:6" x14ac:dyDescent="0.3">
      <c r="E142" s="266"/>
      <c r="F142" s="266"/>
    </row>
    <row r="143" spans="5:6" x14ac:dyDescent="0.3">
      <c r="E143" s="266"/>
      <c r="F143" s="266"/>
    </row>
    <row r="144" spans="5:6" x14ac:dyDescent="0.3">
      <c r="E144" s="266"/>
      <c r="F144" s="266"/>
    </row>
    <row r="145" spans="5:6" x14ac:dyDescent="0.3">
      <c r="E145" s="266"/>
      <c r="F145" s="266"/>
    </row>
    <row r="146" spans="5:6" x14ac:dyDescent="0.3">
      <c r="E146" s="266"/>
      <c r="F146" s="266"/>
    </row>
    <row r="147" spans="5:6" x14ac:dyDescent="0.3">
      <c r="E147" s="266"/>
      <c r="F147" s="266"/>
    </row>
    <row r="148" spans="5:6" x14ac:dyDescent="0.3">
      <c r="E148" s="266"/>
      <c r="F148" s="266"/>
    </row>
    <row r="149" spans="5:6" x14ac:dyDescent="0.3">
      <c r="E149" s="266"/>
      <c r="F149" s="266"/>
    </row>
    <row r="150" spans="5:6" x14ac:dyDescent="0.3">
      <c r="E150" s="266"/>
      <c r="F150" s="266"/>
    </row>
    <row r="151" spans="5:6" x14ac:dyDescent="0.3">
      <c r="E151" s="266"/>
      <c r="F151" s="266"/>
    </row>
    <row r="152" spans="5:6" x14ac:dyDescent="0.3">
      <c r="E152" s="266"/>
      <c r="F152" s="266"/>
    </row>
    <row r="153" spans="5:6" x14ac:dyDescent="0.3">
      <c r="E153" s="266"/>
      <c r="F153" s="266"/>
    </row>
    <row r="154" spans="5:6" x14ac:dyDescent="0.3">
      <c r="E154" s="266"/>
      <c r="F154" s="266"/>
    </row>
    <row r="155" spans="5:6" x14ac:dyDescent="0.3">
      <c r="E155" s="266"/>
      <c r="F155" s="266"/>
    </row>
    <row r="156" spans="5:6" x14ac:dyDescent="0.3">
      <c r="E156" s="266"/>
      <c r="F156" s="266"/>
    </row>
    <row r="157" spans="5:6" x14ac:dyDescent="0.3">
      <c r="E157" s="266"/>
      <c r="F157" s="266"/>
    </row>
    <row r="158" spans="5:6" x14ac:dyDescent="0.3">
      <c r="E158" s="266"/>
      <c r="F158" s="266"/>
    </row>
    <row r="159" spans="5:6" x14ac:dyDescent="0.3">
      <c r="E159" s="266"/>
      <c r="F159" s="266"/>
    </row>
    <row r="160" spans="5:6" x14ac:dyDescent="0.3">
      <c r="E160" s="266"/>
      <c r="F160" s="266"/>
    </row>
    <row r="161" spans="5:6" x14ac:dyDescent="0.3">
      <c r="E161" s="266"/>
      <c r="F161" s="266"/>
    </row>
    <row r="162" spans="5:6" x14ac:dyDescent="0.3">
      <c r="E162" s="266"/>
      <c r="F162" s="266"/>
    </row>
    <row r="163" spans="5:6" x14ac:dyDescent="0.3">
      <c r="E163" s="266"/>
      <c r="F163" s="266"/>
    </row>
    <row r="164" spans="5:6" x14ac:dyDescent="0.3">
      <c r="E164" s="266"/>
      <c r="F164" s="266"/>
    </row>
    <row r="165" spans="5:6" x14ac:dyDescent="0.3">
      <c r="E165" s="266"/>
      <c r="F165" s="266"/>
    </row>
    <row r="166" spans="5:6" x14ac:dyDescent="0.3">
      <c r="E166" s="266"/>
      <c r="F166" s="266"/>
    </row>
    <row r="167" spans="5:6" x14ac:dyDescent="0.3">
      <c r="E167" s="266"/>
      <c r="F167" s="266"/>
    </row>
    <row r="168" spans="5:6" x14ac:dyDescent="0.3">
      <c r="E168" s="266"/>
      <c r="F168" s="266"/>
    </row>
    <row r="169" spans="5:6" x14ac:dyDescent="0.3">
      <c r="E169" s="266"/>
      <c r="F169" s="266"/>
    </row>
    <row r="170" spans="5:6" x14ac:dyDescent="0.3">
      <c r="E170" s="266"/>
      <c r="F170" s="266"/>
    </row>
    <row r="171" spans="5:6" x14ac:dyDescent="0.3">
      <c r="E171" s="266"/>
      <c r="F171" s="266"/>
    </row>
    <row r="172" spans="5:6" x14ac:dyDescent="0.3">
      <c r="E172" s="266"/>
      <c r="F172" s="266"/>
    </row>
    <row r="173" spans="5:6" x14ac:dyDescent="0.3">
      <c r="E173" s="266"/>
      <c r="F173" s="266"/>
    </row>
    <row r="174" spans="5:6" x14ac:dyDescent="0.3">
      <c r="E174" s="266"/>
      <c r="F174" s="266"/>
    </row>
    <row r="175" spans="5:6" x14ac:dyDescent="0.3">
      <c r="E175" s="266"/>
      <c r="F175" s="266"/>
    </row>
    <row r="176" spans="5:6" x14ac:dyDescent="0.3">
      <c r="E176" s="266"/>
      <c r="F176" s="266"/>
    </row>
    <row r="177" spans="5:6" x14ac:dyDescent="0.3">
      <c r="E177" s="266"/>
      <c r="F177" s="266"/>
    </row>
    <row r="178" spans="5:6" x14ac:dyDescent="0.3">
      <c r="E178" s="266"/>
      <c r="F178" s="266"/>
    </row>
    <row r="179" spans="5:6" x14ac:dyDescent="0.3">
      <c r="E179" s="266"/>
      <c r="F179" s="266"/>
    </row>
    <row r="180" spans="5:6" x14ac:dyDescent="0.3">
      <c r="E180" s="266"/>
      <c r="F180" s="266"/>
    </row>
    <row r="181" spans="5:6" x14ac:dyDescent="0.3">
      <c r="E181" s="266"/>
      <c r="F181" s="266"/>
    </row>
    <row r="182" spans="5:6" x14ac:dyDescent="0.3">
      <c r="E182" s="266"/>
      <c r="F182" s="266"/>
    </row>
    <row r="183" spans="5:6" x14ac:dyDescent="0.3">
      <c r="E183" s="266"/>
      <c r="F183" s="266"/>
    </row>
    <row r="184" spans="5:6" x14ac:dyDescent="0.3">
      <c r="E184" s="266"/>
      <c r="F184" s="266"/>
    </row>
    <row r="185" spans="5:6" x14ac:dyDescent="0.3">
      <c r="E185" s="266"/>
      <c r="F185" s="266"/>
    </row>
    <row r="186" spans="5:6" x14ac:dyDescent="0.3">
      <c r="E186" s="266"/>
      <c r="F186" s="266"/>
    </row>
    <row r="187" spans="5:6" x14ac:dyDescent="0.3">
      <c r="E187" s="266"/>
      <c r="F187" s="266"/>
    </row>
    <row r="188" spans="5:6" x14ac:dyDescent="0.3">
      <c r="E188" s="266"/>
      <c r="F188" s="266"/>
    </row>
    <row r="189" spans="5:6" x14ac:dyDescent="0.3">
      <c r="E189" s="266"/>
      <c r="F189" s="266"/>
    </row>
    <row r="190" spans="5:6" x14ac:dyDescent="0.3">
      <c r="E190" s="266"/>
      <c r="F190" s="266"/>
    </row>
    <row r="191" spans="5:6" x14ac:dyDescent="0.3">
      <c r="E191" s="266"/>
      <c r="F191" s="266"/>
    </row>
    <row r="192" spans="5:6" x14ac:dyDescent="0.3">
      <c r="E192" s="266"/>
      <c r="F192" s="266"/>
    </row>
    <row r="193" spans="5:6" x14ac:dyDescent="0.3">
      <c r="E193" s="266"/>
      <c r="F193" s="266"/>
    </row>
    <row r="194" spans="5:6" x14ac:dyDescent="0.3">
      <c r="E194" s="266"/>
      <c r="F194" s="266"/>
    </row>
    <row r="195" spans="5:6" x14ac:dyDescent="0.3">
      <c r="E195" s="266"/>
      <c r="F195" s="266"/>
    </row>
    <row r="196" spans="5:6" x14ac:dyDescent="0.3">
      <c r="E196" s="266"/>
      <c r="F196" s="266"/>
    </row>
    <row r="197" spans="5:6" x14ac:dyDescent="0.3">
      <c r="E197" s="266"/>
      <c r="F197" s="266"/>
    </row>
    <row r="198" spans="5:6" x14ac:dyDescent="0.3">
      <c r="E198" s="266"/>
      <c r="F198" s="266"/>
    </row>
  </sheetData>
  <phoneticPr fontId="22"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xr:uid="{99FA9DF2-9FCD-4B55-B0E1-C9B146EC1DCA}">
          <x14:formula1>
            <xm:f>#REF!</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A646-9750-4D9B-9272-80769C485363}">
  <dimension ref="B1:U33"/>
  <sheetViews>
    <sheetView showGridLines="0" zoomScale="85" zoomScaleNormal="85" workbookViewId="0">
      <selection activeCell="G25" sqref="G25"/>
    </sheetView>
  </sheetViews>
  <sheetFormatPr defaultRowHeight="14.4" x14ac:dyDescent="0.3"/>
  <cols>
    <col min="2" max="2" width="16.88671875" bestFit="1" customWidth="1"/>
    <col min="3" max="3" width="31.44140625" bestFit="1" customWidth="1"/>
    <col min="4" max="4" width="13.44140625" bestFit="1" customWidth="1"/>
    <col min="6" max="6" width="22.109375" bestFit="1" customWidth="1"/>
    <col min="7" max="7" width="13.5546875" bestFit="1" customWidth="1"/>
    <col min="8" max="8" width="10.44140625" bestFit="1" customWidth="1"/>
    <col min="9" max="9" width="11.33203125" bestFit="1" customWidth="1"/>
    <col min="10" max="16" width="11.44140625" customWidth="1"/>
    <col min="17" max="17" width="14" customWidth="1"/>
    <col min="18" max="18" width="13" customWidth="1"/>
    <col min="19" max="19" width="17.6640625" bestFit="1" customWidth="1"/>
  </cols>
  <sheetData>
    <row r="1" spans="2:21" ht="15" thickBot="1" x14ac:dyDescent="0.35"/>
    <row r="2" spans="2:21" ht="31.5" customHeight="1" x14ac:dyDescent="0.3">
      <c r="B2" s="229" t="s">
        <v>41</v>
      </c>
      <c r="C2" s="230" t="s">
        <v>42</v>
      </c>
      <c r="D2" s="230" t="s">
        <v>43</v>
      </c>
      <c r="E2" s="230" t="s">
        <v>44</v>
      </c>
      <c r="F2" s="230" t="s">
        <v>45</v>
      </c>
      <c r="G2" s="230" t="s">
        <v>46</v>
      </c>
      <c r="H2" s="230" t="s">
        <v>47</v>
      </c>
      <c r="I2" s="230" t="s">
        <v>48</v>
      </c>
      <c r="J2" s="230" t="s">
        <v>49</v>
      </c>
      <c r="K2" s="230" t="s">
        <v>50</v>
      </c>
      <c r="L2" s="230" t="s">
        <v>51</v>
      </c>
      <c r="M2" s="230" t="s">
        <v>52</v>
      </c>
      <c r="N2" s="230" t="s">
        <v>53</v>
      </c>
      <c r="O2" s="230" t="s">
        <v>54</v>
      </c>
      <c r="P2" s="230" t="s">
        <v>55</v>
      </c>
      <c r="Q2" s="230" t="s">
        <v>56</v>
      </c>
      <c r="R2" s="230" t="s">
        <v>57</v>
      </c>
      <c r="S2" s="237" t="s">
        <v>58</v>
      </c>
    </row>
    <row r="3" spans="2:21" x14ac:dyDescent="0.3">
      <c r="B3" s="231" t="s">
        <v>59</v>
      </c>
      <c r="C3" s="232" t="str">
        <f>Summary!B3</f>
        <v>41 Heritage Park</v>
      </c>
      <c r="D3" s="212">
        <f>Summary!D10</f>
        <v>2310771</v>
      </c>
      <c r="E3" s="212">
        <f>Summary!D11</f>
        <v>53</v>
      </c>
      <c r="F3" s="212">
        <f>Summary!D12</f>
        <v>12</v>
      </c>
      <c r="G3" s="238">
        <f>Summary!D24</f>
        <v>240000</v>
      </c>
      <c r="H3" s="213"/>
      <c r="I3" s="214"/>
      <c r="J3" s="212">
        <v>10.33</v>
      </c>
      <c r="K3" s="212"/>
      <c r="L3" s="215">
        <f t="shared" ref="L3:L7" si="0">J3*3.28084</f>
        <v>33.891077199999998</v>
      </c>
      <c r="M3" s="215"/>
      <c r="N3" s="215"/>
      <c r="O3" s="215">
        <f>Summary!D19</f>
        <v>3681.2538</v>
      </c>
      <c r="P3" s="215">
        <f>G3/L3</f>
        <v>7081.5099379608982</v>
      </c>
      <c r="Q3" s="215" t="e">
        <f t="shared" ref="Q3:Q13" si="1">G3/M3</f>
        <v>#DIV/0!</v>
      </c>
      <c r="R3" s="216">
        <f>G3/O3</f>
        <v>65.19517888171687</v>
      </c>
      <c r="S3" s="217"/>
    </row>
    <row r="4" spans="2:21" x14ac:dyDescent="0.3">
      <c r="B4" s="233"/>
      <c r="C4" s="234" t="s">
        <v>343</v>
      </c>
      <c r="D4" s="41">
        <v>2310771</v>
      </c>
      <c r="E4" s="41">
        <v>53</v>
      </c>
      <c r="F4" s="41">
        <v>11</v>
      </c>
      <c r="G4" s="197">
        <v>240000</v>
      </c>
      <c r="H4" s="198"/>
      <c r="I4" s="182"/>
      <c r="J4" s="171">
        <v>10.33</v>
      </c>
      <c r="K4" s="41"/>
      <c r="L4" s="200">
        <f t="shared" si="0"/>
        <v>33.891077199999998</v>
      </c>
      <c r="M4" s="200"/>
      <c r="N4" s="200"/>
      <c r="O4" s="200">
        <f>L4*N4</f>
        <v>0</v>
      </c>
      <c r="P4" s="200">
        <f>G4/L4</f>
        <v>7081.5099379608982</v>
      </c>
      <c r="Q4" s="200" t="e">
        <f t="shared" si="1"/>
        <v>#DIV/0!</v>
      </c>
      <c r="R4" s="185" t="e">
        <f>G4/O4</f>
        <v>#DIV/0!</v>
      </c>
      <c r="S4" s="209"/>
      <c r="U4" s="180"/>
    </row>
    <row r="5" spans="2:21" x14ac:dyDescent="0.3">
      <c r="B5" s="233"/>
      <c r="C5" s="234" t="s">
        <v>344</v>
      </c>
      <c r="D5" s="41">
        <v>2310771</v>
      </c>
      <c r="E5" s="41">
        <v>51</v>
      </c>
      <c r="F5" s="41">
        <v>11</v>
      </c>
      <c r="G5" s="197">
        <v>220000</v>
      </c>
      <c r="H5" s="198"/>
      <c r="I5" s="177">
        <v>45799</v>
      </c>
      <c r="J5" s="171">
        <v>10</v>
      </c>
      <c r="K5" s="41"/>
      <c r="L5" s="200">
        <f t="shared" si="0"/>
        <v>32.808399999999999</v>
      </c>
      <c r="M5" s="200"/>
      <c r="N5" s="200"/>
      <c r="O5" s="200">
        <f t="shared" ref="O5:O13" si="2">L5*N5</f>
        <v>0</v>
      </c>
      <c r="P5" s="200">
        <f>G5/L5</f>
        <v>6705.5997854208072</v>
      </c>
      <c r="Q5" s="200" t="e">
        <f t="shared" si="1"/>
        <v>#DIV/0!</v>
      </c>
      <c r="R5" s="185" t="e">
        <f>G5/O5</f>
        <v>#DIV/0!</v>
      </c>
      <c r="S5" s="209"/>
    </row>
    <row r="6" spans="2:21" x14ac:dyDescent="0.3">
      <c r="B6" s="233"/>
      <c r="C6" s="234" t="s">
        <v>349</v>
      </c>
      <c r="D6" s="41">
        <v>2310771</v>
      </c>
      <c r="E6" s="41">
        <v>51</v>
      </c>
      <c r="F6" s="41">
        <v>10</v>
      </c>
      <c r="G6" s="197">
        <v>210000</v>
      </c>
      <c r="H6" s="198"/>
      <c r="I6" s="177">
        <v>45799</v>
      </c>
      <c r="J6" s="171">
        <v>10</v>
      </c>
      <c r="K6" s="41"/>
      <c r="L6" s="200">
        <f t="shared" si="0"/>
        <v>32.808399999999999</v>
      </c>
      <c r="M6" s="200"/>
      <c r="N6" s="200"/>
      <c r="O6" s="200">
        <f t="shared" si="2"/>
        <v>0</v>
      </c>
      <c r="P6" s="200">
        <f>G6/L6</f>
        <v>6400.7997951744064</v>
      </c>
      <c r="Q6" s="200" t="e">
        <f t="shared" si="1"/>
        <v>#DIV/0!</v>
      </c>
      <c r="R6" s="185" t="e">
        <f>G6/O6</f>
        <v>#DIV/0!</v>
      </c>
      <c r="S6" s="209" t="s">
        <v>350</v>
      </c>
    </row>
    <row r="7" spans="2:21" x14ac:dyDescent="0.3">
      <c r="B7" s="233"/>
      <c r="C7" s="234" t="s">
        <v>348</v>
      </c>
      <c r="D7" s="41">
        <v>2310771</v>
      </c>
      <c r="E7" s="41">
        <v>51</v>
      </c>
      <c r="F7" s="41">
        <v>9</v>
      </c>
      <c r="G7" s="197">
        <v>210000</v>
      </c>
      <c r="H7" s="198"/>
      <c r="I7" s="177">
        <v>46037</v>
      </c>
      <c r="J7" s="171">
        <v>10</v>
      </c>
      <c r="K7" s="41"/>
      <c r="L7" s="200">
        <f t="shared" si="0"/>
        <v>32.808399999999999</v>
      </c>
      <c r="M7" s="200"/>
      <c r="N7" s="200"/>
      <c r="O7" s="200">
        <f t="shared" si="2"/>
        <v>0</v>
      </c>
      <c r="P7" s="200">
        <f t="shared" ref="P7:P13" si="3">G7/L7</f>
        <v>6400.7997951744064</v>
      </c>
      <c r="Q7" s="200" t="e">
        <f t="shared" si="1"/>
        <v>#DIV/0!</v>
      </c>
      <c r="R7" s="185" t="e">
        <f t="shared" ref="R7:R13" si="4">G7/O7</f>
        <v>#DIV/0!</v>
      </c>
      <c r="S7" s="209" t="s">
        <v>350</v>
      </c>
    </row>
    <row r="8" spans="2:21" x14ac:dyDescent="0.3">
      <c r="B8" s="233"/>
      <c r="C8" s="234" t="s">
        <v>347</v>
      </c>
      <c r="D8" s="41">
        <v>2310771</v>
      </c>
      <c r="E8" s="41">
        <v>51</v>
      </c>
      <c r="F8" s="41">
        <v>8</v>
      </c>
      <c r="G8" s="197">
        <v>210000</v>
      </c>
      <c r="H8" s="198"/>
      <c r="I8" s="177">
        <v>45941</v>
      </c>
      <c r="J8" s="171">
        <v>10</v>
      </c>
      <c r="K8" s="41"/>
      <c r="L8" s="200">
        <f t="shared" ref="L8:L13" si="5">J8*3.28084</f>
        <v>32.808399999999999</v>
      </c>
      <c r="M8" s="200"/>
      <c r="N8" s="200"/>
      <c r="O8" s="200">
        <f t="shared" si="2"/>
        <v>0</v>
      </c>
      <c r="P8" s="200">
        <f t="shared" si="3"/>
        <v>6400.7997951744064</v>
      </c>
      <c r="Q8" s="200" t="e">
        <f t="shared" si="1"/>
        <v>#DIV/0!</v>
      </c>
      <c r="R8" s="185" t="e">
        <f t="shared" si="4"/>
        <v>#DIV/0!</v>
      </c>
      <c r="S8" s="209" t="s">
        <v>350</v>
      </c>
    </row>
    <row r="9" spans="2:21" x14ac:dyDescent="0.3">
      <c r="B9" s="233"/>
      <c r="C9" s="234" t="s">
        <v>346</v>
      </c>
      <c r="D9" s="41">
        <v>2310771</v>
      </c>
      <c r="E9" s="41">
        <v>51</v>
      </c>
      <c r="F9" s="41">
        <v>3</v>
      </c>
      <c r="G9" s="197">
        <v>210000</v>
      </c>
      <c r="H9" s="198"/>
      <c r="I9" s="177">
        <v>45941</v>
      </c>
      <c r="J9" s="171">
        <v>10</v>
      </c>
      <c r="K9" s="41"/>
      <c r="L9" s="200">
        <f t="shared" si="5"/>
        <v>32.808399999999999</v>
      </c>
      <c r="M9" s="200"/>
      <c r="N9" s="200"/>
      <c r="O9" s="200">
        <f t="shared" si="2"/>
        <v>0</v>
      </c>
      <c r="P9" s="200">
        <f t="shared" si="3"/>
        <v>6400.7997951744064</v>
      </c>
      <c r="Q9" s="200" t="e">
        <f t="shared" si="1"/>
        <v>#DIV/0!</v>
      </c>
      <c r="R9" s="185" t="e">
        <f t="shared" si="4"/>
        <v>#DIV/0!</v>
      </c>
      <c r="S9" s="209" t="s">
        <v>350</v>
      </c>
    </row>
    <row r="10" spans="2:21" x14ac:dyDescent="0.3">
      <c r="B10" s="233"/>
      <c r="C10" s="234" t="s">
        <v>345</v>
      </c>
      <c r="D10" s="41">
        <v>2310771</v>
      </c>
      <c r="E10" s="41">
        <v>51</v>
      </c>
      <c r="F10" s="41">
        <v>1</v>
      </c>
      <c r="G10" s="197">
        <v>210000</v>
      </c>
      <c r="H10" s="198"/>
      <c r="I10" s="177">
        <v>45799</v>
      </c>
      <c r="J10" s="171">
        <v>10</v>
      </c>
      <c r="K10" s="41"/>
      <c r="L10" s="200">
        <f t="shared" si="5"/>
        <v>32.808399999999999</v>
      </c>
      <c r="M10" s="200"/>
      <c r="N10" s="200"/>
      <c r="O10" s="200">
        <f t="shared" si="2"/>
        <v>0</v>
      </c>
      <c r="P10" s="200">
        <f t="shared" si="3"/>
        <v>6400.7997951744064</v>
      </c>
      <c r="Q10" s="200" t="e">
        <f t="shared" si="1"/>
        <v>#DIV/0!</v>
      </c>
      <c r="R10" s="185" t="e">
        <f t="shared" si="4"/>
        <v>#DIV/0!</v>
      </c>
      <c r="S10" s="209" t="s">
        <v>350</v>
      </c>
    </row>
    <row r="11" spans="2:21" x14ac:dyDescent="0.3">
      <c r="B11" s="233"/>
      <c r="C11" s="234" t="s">
        <v>356</v>
      </c>
      <c r="D11" s="41">
        <v>2411850</v>
      </c>
      <c r="E11" s="41">
        <v>7</v>
      </c>
      <c r="F11" s="41">
        <v>7</v>
      </c>
      <c r="G11" s="197">
        <v>193000</v>
      </c>
      <c r="H11" s="198"/>
      <c r="I11" s="177">
        <v>45819</v>
      </c>
      <c r="J11" s="171">
        <v>12</v>
      </c>
      <c r="K11" s="41"/>
      <c r="L11" s="200">
        <f t="shared" si="5"/>
        <v>39.370080000000002</v>
      </c>
      <c r="M11" s="200"/>
      <c r="N11" s="200"/>
      <c r="O11" s="200">
        <f t="shared" si="2"/>
        <v>0</v>
      </c>
      <c r="P11" s="200">
        <f t="shared" si="3"/>
        <v>4902.1998431296051</v>
      </c>
      <c r="Q11" s="200" t="e">
        <f t="shared" si="1"/>
        <v>#DIV/0!</v>
      </c>
      <c r="R11" s="185" t="e">
        <f t="shared" si="4"/>
        <v>#DIV/0!</v>
      </c>
      <c r="S11" s="209" t="s">
        <v>351</v>
      </c>
    </row>
    <row r="12" spans="2:21" x14ac:dyDescent="0.3">
      <c r="B12" s="233"/>
      <c r="C12" s="234" t="s">
        <v>357</v>
      </c>
      <c r="D12" s="41">
        <v>2411850</v>
      </c>
      <c r="E12" s="41">
        <v>7</v>
      </c>
      <c r="F12" s="252" t="s">
        <v>354</v>
      </c>
      <c r="G12" s="197">
        <v>193000</v>
      </c>
      <c r="H12" s="198"/>
      <c r="I12" s="177">
        <v>45819</v>
      </c>
      <c r="J12" s="171">
        <v>10</v>
      </c>
      <c r="K12" s="41"/>
      <c r="L12" s="200">
        <f t="shared" si="5"/>
        <v>32.808399999999999</v>
      </c>
      <c r="M12" s="200"/>
      <c r="N12" s="200"/>
      <c r="O12" s="200">
        <f t="shared" si="2"/>
        <v>0</v>
      </c>
      <c r="P12" s="200">
        <f t="shared" si="3"/>
        <v>5882.6398117555264</v>
      </c>
      <c r="Q12" s="200" t="e">
        <f t="shared" si="1"/>
        <v>#DIV/0!</v>
      </c>
      <c r="R12" s="185" t="e">
        <f t="shared" si="4"/>
        <v>#DIV/0!</v>
      </c>
      <c r="S12" s="209" t="s">
        <v>352</v>
      </c>
    </row>
    <row r="13" spans="2:21" x14ac:dyDescent="0.3">
      <c r="B13" s="233"/>
      <c r="C13" s="234" t="s">
        <v>358</v>
      </c>
      <c r="D13" s="41">
        <v>2411850</v>
      </c>
      <c r="E13" s="41">
        <v>3</v>
      </c>
      <c r="F13" s="253" t="s">
        <v>355</v>
      </c>
      <c r="G13" s="197">
        <v>203000</v>
      </c>
      <c r="H13" s="198"/>
      <c r="I13" s="177">
        <v>46058</v>
      </c>
      <c r="J13" s="171">
        <v>10</v>
      </c>
      <c r="K13" s="41"/>
      <c r="L13" s="200">
        <f t="shared" si="5"/>
        <v>32.808399999999999</v>
      </c>
      <c r="M13" s="200"/>
      <c r="N13" s="200"/>
      <c r="O13" s="200">
        <f t="shared" si="2"/>
        <v>0</v>
      </c>
      <c r="P13" s="200">
        <f t="shared" si="3"/>
        <v>6187.4398020019262</v>
      </c>
      <c r="Q13" s="200" t="e">
        <f t="shared" si="1"/>
        <v>#DIV/0!</v>
      </c>
      <c r="R13" s="185" t="e">
        <f t="shared" si="4"/>
        <v>#DIV/0!</v>
      </c>
      <c r="S13" s="209" t="s">
        <v>353</v>
      </c>
    </row>
    <row r="14" spans="2:21" x14ac:dyDescent="0.3">
      <c r="B14" s="233"/>
      <c r="C14" s="234"/>
      <c r="D14" s="41"/>
      <c r="E14" s="41"/>
      <c r="F14" s="41"/>
      <c r="G14" s="197"/>
      <c r="H14" s="198"/>
      <c r="I14" s="177"/>
      <c r="J14" s="171"/>
      <c r="K14" s="41"/>
      <c r="L14" s="200"/>
      <c r="M14" s="200"/>
      <c r="N14" s="200"/>
      <c r="O14" s="200"/>
      <c r="P14" s="200"/>
      <c r="Q14" s="200"/>
      <c r="R14" s="185"/>
      <c r="S14" s="209"/>
    </row>
    <row r="15" spans="2:21" x14ac:dyDescent="0.3">
      <c r="B15" s="233"/>
      <c r="C15" s="234"/>
      <c r="D15" s="41"/>
      <c r="E15" s="41"/>
      <c r="F15" s="41"/>
      <c r="G15" s="197"/>
      <c r="H15" s="198"/>
      <c r="I15" s="177"/>
      <c r="J15" s="171"/>
      <c r="K15" s="41"/>
      <c r="L15" s="200"/>
      <c r="M15" s="200"/>
      <c r="N15" s="200"/>
      <c r="O15" s="200"/>
      <c r="P15" s="200"/>
      <c r="Q15" s="200"/>
      <c r="R15" s="185"/>
      <c r="S15" s="209"/>
    </row>
    <row r="16" spans="2:21" ht="15" thickBot="1" x14ac:dyDescent="0.35">
      <c r="B16" s="235"/>
      <c r="C16" s="236" t="s">
        <v>60</v>
      </c>
      <c r="D16" s="193"/>
      <c r="E16" s="193"/>
      <c r="F16" s="193"/>
      <c r="G16" s="210">
        <f>AVERAGE(G4:G15)</f>
        <v>209900</v>
      </c>
      <c r="H16" s="194"/>
      <c r="I16" s="211"/>
      <c r="J16" s="193"/>
      <c r="K16" s="193"/>
      <c r="L16" s="195"/>
      <c r="M16" s="195"/>
      <c r="N16" s="195"/>
      <c r="O16" s="195"/>
      <c r="P16" s="195"/>
      <c r="Q16" s="195"/>
      <c r="R16" s="196"/>
      <c r="S16" s="208"/>
    </row>
    <row r="17" spans="2:18" x14ac:dyDescent="0.3">
      <c r="C17" s="41"/>
      <c r="D17" s="41"/>
      <c r="E17" s="41"/>
      <c r="F17" s="41"/>
      <c r="G17" s="198"/>
      <c r="H17" s="41"/>
      <c r="I17" s="41"/>
      <c r="J17" s="41"/>
      <c r="K17" s="200"/>
      <c r="L17" s="200"/>
      <c r="M17" s="200"/>
      <c r="N17" s="200"/>
      <c r="O17" s="200"/>
      <c r="P17" s="185"/>
      <c r="Q17" s="185"/>
      <c r="R17" s="152"/>
    </row>
    <row r="18" spans="2:18" x14ac:dyDescent="0.3">
      <c r="C18" s="41"/>
      <c r="D18" s="41"/>
      <c r="E18" s="41"/>
      <c r="F18" s="41"/>
      <c r="G18" s="198"/>
      <c r="H18" s="41"/>
      <c r="I18" s="41"/>
      <c r="J18" s="41"/>
      <c r="K18" s="200"/>
      <c r="L18" s="200"/>
      <c r="M18" s="200"/>
      <c r="N18" s="200"/>
      <c r="O18" s="200"/>
      <c r="P18" s="185"/>
      <c r="Q18" s="185"/>
      <c r="R18" s="152"/>
    </row>
    <row r="19" spans="2:18" x14ac:dyDescent="0.3">
      <c r="C19" s="41"/>
      <c r="D19" s="41"/>
      <c r="E19" s="41"/>
      <c r="F19" s="41"/>
      <c r="G19" s="202"/>
      <c r="H19" s="199"/>
      <c r="I19" s="199"/>
      <c r="J19" s="41"/>
      <c r="K19" s="200"/>
      <c r="L19" s="200"/>
      <c r="M19" s="200"/>
      <c r="N19" s="200"/>
      <c r="O19" s="200"/>
      <c r="P19" s="185"/>
      <c r="Q19" s="185"/>
      <c r="R19" s="203"/>
    </row>
    <row r="20" spans="2:18" ht="15" thickBot="1" x14ac:dyDescent="0.35">
      <c r="C20" s="41"/>
      <c r="D20" s="41"/>
      <c r="E20" s="41"/>
      <c r="F20" s="41"/>
      <c r="G20" s="202"/>
      <c r="H20" s="240"/>
      <c r="I20" s="240"/>
      <c r="J20" s="41"/>
      <c r="K20" s="200"/>
      <c r="L20" s="200"/>
      <c r="M20" s="200"/>
      <c r="N20" s="200"/>
      <c r="O20" s="200"/>
      <c r="P20" s="185"/>
      <c r="Q20" s="185"/>
      <c r="R20" s="203"/>
    </row>
    <row r="21" spans="2:18" x14ac:dyDescent="0.3">
      <c r="B21" s="222"/>
      <c r="C21" s="223" t="s">
        <v>61</v>
      </c>
      <c r="D21" s="224" t="s">
        <v>62</v>
      </c>
      <c r="E21" s="41"/>
      <c r="F21" s="41"/>
      <c r="G21" s="180"/>
      <c r="H21" s="240"/>
      <c r="I21" s="240"/>
      <c r="J21" s="41"/>
      <c r="K21" s="41"/>
      <c r="L21" s="41"/>
      <c r="M21" s="41"/>
      <c r="N21" s="41"/>
      <c r="O21" s="41"/>
    </row>
    <row r="22" spans="2:18" x14ac:dyDescent="0.3">
      <c r="B22" s="225" t="s">
        <v>63</v>
      </c>
      <c r="C22" s="204" t="e">
        <f>MIN(R4:R16)</f>
        <v>#DIV/0!</v>
      </c>
      <c r="D22" s="218">
        <f>MIN(P4:P16)</f>
        <v>4902.1998431296051</v>
      </c>
      <c r="F22" s="41"/>
      <c r="G22" s="205"/>
      <c r="H22" s="240"/>
      <c r="I22" s="240"/>
    </row>
    <row r="23" spans="2:18" x14ac:dyDescent="0.3">
      <c r="B23" s="226" t="s">
        <v>64</v>
      </c>
      <c r="C23" s="204" t="e">
        <f>_xlfn.PERCENTILE.INC(R4:R16,0.25)</f>
        <v>#DIV/0!</v>
      </c>
      <c r="D23" s="218">
        <f>_xlfn.PERCENTILE.INC(P4:P16,0.25)</f>
        <v>6240.7798002950458</v>
      </c>
      <c r="F23" s="41"/>
      <c r="G23" s="206"/>
      <c r="H23" s="240"/>
      <c r="I23" s="240"/>
    </row>
    <row r="24" spans="2:18" x14ac:dyDescent="0.3">
      <c r="B24" s="226" t="s">
        <v>65</v>
      </c>
      <c r="C24" s="204" t="e">
        <f>MEDIAN(R4:R16)</f>
        <v>#DIV/0!</v>
      </c>
      <c r="D24" s="218">
        <f>MEDIAN(P4:P16)</f>
        <v>6400.7997951744064</v>
      </c>
      <c r="F24" s="41"/>
      <c r="G24" s="41"/>
      <c r="H24" s="199"/>
      <c r="I24" s="240"/>
    </row>
    <row r="25" spans="2:18" x14ac:dyDescent="0.3">
      <c r="B25" s="226" t="s">
        <v>66</v>
      </c>
      <c r="C25" s="204" t="e">
        <f>AVERAGE(R4:R16)</f>
        <v>#DIV/0!</v>
      </c>
      <c r="D25" s="218">
        <f>AVERAGE(P4:P16)</f>
        <v>6276.33881561408</v>
      </c>
      <c r="F25" s="41"/>
      <c r="G25" s="41"/>
      <c r="H25" s="199"/>
      <c r="I25" s="240"/>
    </row>
    <row r="26" spans="2:18" x14ac:dyDescent="0.3">
      <c r="B26" s="226" t="s">
        <v>67</v>
      </c>
      <c r="C26" s="204" t="e">
        <f>_xlfn.PERCENTILE.INC(R4:R16,0.75)</f>
        <v>#DIV/0!</v>
      </c>
      <c r="D26" s="218">
        <f>_xlfn.PERCENTILE.INC(P4:P16,0.75)</f>
        <v>6400.7997951744064</v>
      </c>
      <c r="F26" s="41"/>
      <c r="G26" s="41"/>
      <c r="H26" s="199"/>
      <c r="I26" s="240"/>
    </row>
    <row r="27" spans="2:18" x14ac:dyDescent="0.3">
      <c r="B27" s="226" t="s">
        <v>68</v>
      </c>
      <c r="C27" s="204" t="e">
        <f>MAX(R4:R16)</f>
        <v>#DIV/0!</v>
      </c>
      <c r="D27" s="218">
        <f>MAX(P4:P16)</f>
        <v>7081.5099379608982</v>
      </c>
      <c r="F27" s="41"/>
      <c r="G27" s="41"/>
      <c r="H27" s="199"/>
      <c r="I27" s="199"/>
    </row>
    <row r="28" spans="2:18" x14ac:dyDescent="0.3">
      <c r="B28" s="226"/>
      <c r="C28" s="204"/>
      <c r="D28" s="218"/>
      <c r="F28" s="41"/>
      <c r="G28" s="41"/>
      <c r="H28" s="199"/>
      <c r="I28" s="199"/>
    </row>
    <row r="29" spans="2:18" x14ac:dyDescent="0.3">
      <c r="B29" s="226" t="s">
        <v>69</v>
      </c>
      <c r="C29" s="204" t="e">
        <f>_xlfn.STDEV.P($R$4:$R$16)</f>
        <v>#DIV/0!</v>
      </c>
      <c r="D29" s="218">
        <f>_xlfn.STDEV.P($P$4:$P$16)</f>
        <v>544.16707448975137</v>
      </c>
      <c r="F29" s="41"/>
      <c r="G29" s="41"/>
      <c r="H29" s="199"/>
      <c r="I29" s="199"/>
    </row>
    <row r="30" spans="2:18" x14ac:dyDescent="0.3">
      <c r="B30" s="226"/>
      <c r="C30" s="204"/>
      <c r="D30" s="218"/>
      <c r="F30" s="41"/>
      <c r="G30" s="41"/>
      <c r="H30" s="199"/>
      <c r="I30" s="199"/>
    </row>
    <row r="31" spans="2:18" x14ac:dyDescent="0.3">
      <c r="B31" s="226" t="s">
        <v>70</v>
      </c>
      <c r="C31" s="204" t="e">
        <f>C23</f>
        <v>#DIV/0!</v>
      </c>
      <c r="D31" s="218">
        <f>D25</f>
        <v>6276.33881561408</v>
      </c>
      <c r="E31" s="201"/>
      <c r="F31" s="200"/>
      <c r="G31" s="41"/>
      <c r="H31" s="199"/>
      <c r="I31" s="199"/>
    </row>
    <row r="32" spans="2:18" x14ac:dyDescent="0.3">
      <c r="B32" s="227" t="s">
        <v>71</v>
      </c>
      <c r="C32" s="207">
        <f>O3</f>
        <v>3681.2538</v>
      </c>
      <c r="D32" s="219">
        <f>L3</f>
        <v>33.891077199999998</v>
      </c>
      <c r="F32" s="41"/>
      <c r="G32" s="41"/>
      <c r="H32" s="199"/>
      <c r="I32" s="199"/>
    </row>
    <row r="33" spans="2:9" ht="15" thickBot="1" x14ac:dyDescent="0.35">
      <c r="B33" s="228" t="s">
        <v>72</v>
      </c>
      <c r="C33" s="220" t="e">
        <f>C32*C31</f>
        <v>#DIV/0!</v>
      </c>
      <c r="D33" s="221">
        <f>D31*D32</f>
        <v>212711.88333333333</v>
      </c>
      <c r="F33" s="41"/>
      <c r="G33" s="41"/>
      <c r="H33" s="199"/>
      <c r="I33" s="199"/>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98DF4-8041-47CC-9036-02F87C98514F}">
  <dimension ref="A2:P80"/>
  <sheetViews>
    <sheetView showGridLines="0" topLeftCell="A34" zoomScale="70" zoomScaleNormal="70" workbookViewId="0">
      <selection activeCell="D3" sqref="D3"/>
    </sheetView>
  </sheetViews>
  <sheetFormatPr defaultColWidth="38.33203125" defaultRowHeight="14.4" x14ac:dyDescent="0.3"/>
  <cols>
    <col min="1" max="1" width="6.44140625" style="93" customWidth="1"/>
    <col min="2" max="2" width="33.109375" style="93" customWidth="1"/>
    <col min="3" max="3" width="9.6640625" style="93" customWidth="1"/>
    <col min="4" max="11" width="36.109375" style="96" customWidth="1"/>
    <col min="13" max="13" width="36.109375" style="96" customWidth="1"/>
    <col min="14" max="14" width="38.33203125" style="96"/>
    <col min="15" max="15" width="38.33203125" style="93"/>
    <col min="16" max="16" width="36.109375" style="96" customWidth="1"/>
    <col min="17" max="16384" width="38.33203125" style="93"/>
  </cols>
  <sheetData>
    <row r="2" spans="2:16" ht="23.4" x14ac:dyDescent="0.3">
      <c r="B2" s="53" t="str">
        <f>Summary!B2</f>
        <v>CLIENT</v>
      </c>
      <c r="C2" s="53"/>
    </row>
    <row r="3" spans="2:16" ht="18" x14ac:dyDescent="0.3">
      <c r="B3" s="82" t="str">
        <f>Summary!B3</f>
        <v>41 Heritage Park</v>
      </c>
      <c r="C3" s="82"/>
    </row>
    <row r="4" spans="2:16" s="90" customFormat="1" x14ac:dyDescent="0.3">
      <c r="D4" s="91"/>
      <c r="E4" s="91"/>
      <c r="F4" s="91"/>
      <c r="G4" s="91" t="s">
        <v>387</v>
      </c>
      <c r="H4" s="91" t="s">
        <v>388</v>
      </c>
      <c r="I4" s="91"/>
      <c r="J4" s="91"/>
      <c r="K4" s="91"/>
      <c r="M4" s="91"/>
      <c r="N4" s="96"/>
      <c r="P4" s="91" t="s">
        <v>382</v>
      </c>
    </row>
    <row r="5" spans="2:16" s="89" customFormat="1" x14ac:dyDescent="0.3">
      <c r="B5" s="122" t="s">
        <v>73</v>
      </c>
      <c r="C5" s="122"/>
      <c r="D5" s="113" t="s">
        <v>74</v>
      </c>
      <c r="E5" s="118">
        <v>1</v>
      </c>
      <c r="F5" s="118">
        <f t="shared" ref="F5" si="0">E5+1</f>
        <v>2</v>
      </c>
      <c r="G5" s="118">
        <f t="shared" ref="G5" si="1">F5+1</f>
        <v>3</v>
      </c>
      <c r="H5" s="118"/>
      <c r="I5" s="118"/>
      <c r="J5" s="118">
        <f>K5+1</f>
        <v>5</v>
      </c>
      <c r="K5" s="118">
        <f>G5+1</f>
        <v>4</v>
      </c>
      <c r="M5" s="190"/>
      <c r="N5" s="96"/>
      <c r="P5" s="118"/>
    </row>
    <row r="6" spans="2:16" s="92" customFormat="1" ht="18" customHeight="1" x14ac:dyDescent="0.3">
      <c r="B6" s="122" t="s">
        <v>75</v>
      </c>
      <c r="C6" s="122"/>
      <c r="D6" s="113" t="str">
        <f>B3</f>
        <v>41 Heritage Park</v>
      </c>
      <c r="E6" s="113" t="s">
        <v>367</v>
      </c>
      <c r="F6" s="113" t="s">
        <v>369</v>
      </c>
      <c r="G6" s="113" t="s">
        <v>371</v>
      </c>
      <c r="H6" s="113" t="s">
        <v>384</v>
      </c>
      <c r="I6" s="113" t="s">
        <v>378</v>
      </c>
      <c r="J6" s="113" t="s">
        <v>360</v>
      </c>
      <c r="K6" s="113" t="s">
        <v>359</v>
      </c>
      <c r="M6" s="191"/>
      <c r="N6" s="96"/>
      <c r="P6" s="113" t="s">
        <v>381</v>
      </c>
    </row>
    <row r="7" spans="2:16" s="97" customFormat="1" ht="23.4" x14ac:dyDescent="0.45">
      <c r="B7" s="274" t="s">
        <v>394</v>
      </c>
      <c r="C7" s="123"/>
      <c r="D7" s="71"/>
      <c r="E7" s="275" t="s">
        <v>393</v>
      </c>
      <c r="F7" s="275" t="s">
        <v>76</v>
      </c>
      <c r="G7" s="275" t="s">
        <v>76</v>
      </c>
      <c r="H7" s="275" t="s">
        <v>76</v>
      </c>
      <c r="I7" s="275" t="s">
        <v>76</v>
      </c>
      <c r="J7" s="275" t="s">
        <v>76</v>
      </c>
      <c r="K7" s="275" t="s">
        <v>76</v>
      </c>
      <c r="M7" s="121"/>
      <c r="N7" s="96"/>
      <c r="P7" s="121" t="s">
        <v>76</v>
      </c>
    </row>
    <row r="8" spans="2:16" s="96" customFormat="1" ht="162" customHeight="1" x14ac:dyDescent="0.3">
      <c r="B8" s="179"/>
      <c r="C8" s="179"/>
      <c r="D8"/>
      <c r="E8"/>
      <c r="F8"/>
      <c r="G8"/>
      <c r="H8"/>
      <c r="I8"/>
      <c r="J8"/>
      <c r="K8"/>
      <c r="P8"/>
    </row>
    <row r="9" spans="2:16" s="94" customFormat="1" ht="18" customHeight="1" x14ac:dyDescent="0.3">
      <c r="B9" s="122" t="s">
        <v>77</v>
      </c>
      <c r="C9" s="122"/>
      <c r="D9" s="114">
        <f>Summary!D37</f>
        <v>916000</v>
      </c>
      <c r="E9" s="114">
        <v>879000</v>
      </c>
      <c r="F9" s="114">
        <v>730000</v>
      </c>
      <c r="G9" s="114">
        <v>840000</v>
      </c>
      <c r="H9" s="114">
        <v>724900</v>
      </c>
      <c r="I9" s="114">
        <v>679900</v>
      </c>
      <c r="J9" s="114">
        <v>850000</v>
      </c>
      <c r="K9" s="114">
        <v>860000</v>
      </c>
      <c r="M9" s="192"/>
      <c r="N9" s="96"/>
      <c r="O9" s="96"/>
      <c r="P9" s="114">
        <v>714190</v>
      </c>
    </row>
    <row r="10" spans="2:16" s="94" customFormat="1" ht="18" customHeight="1" x14ac:dyDescent="0.3">
      <c r="B10" s="124"/>
      <c r="C10" s="124"/>
      <c r="D10" s="112"/>
      <c r="E10" s="112"/>
      <c r="F10" s="112"/>
      <c r="G10" s="112"/>
      <c r="H10" s="112"/>
      <c r="I10" s="112"/>
      <c r="J10" s="112"/>
      <c r="K10" s="112"/>
      <c r="M10" s="112"/>
      <c r="N10" s="96" t="s">
        <v>361</v>
      </c>
      <c r="O10" s="96"/>
      <c r="P10" s="112"/>
    </row>
    <row r="11" spans="2:16" x14ac:dyDescent="0.3">
      <c r="B11" s="93" t="s">
        <v>78</v>
      </c>
      <c r="D11" s="95" t="s">
        <v>46</v>
      </c>
      <c r="E11" s="95" t="s">
        <v>32</v>
      </c>
      <c r="F11" s="95" t="s">
        <v>46</v>
      </c>
      <c r="G11" s="95" t="s">
        <v>46</v>
      </c>
      <c r="H11" s="95" t="s">
        <v>46</v>
      </c>
      <c r="I11" s="95" t="s">
        <v>46</v>
      </c>
      <c r="J11" s="95" t="s">
        <v>46</v>
      </c>
      <c r="K11" s="95" t="s">
        <v>46</v>
      </c>
      <c r="M11" s="95"/>
      <c r="N11" s="180"/>
      <c r="O11" s="96"/>
      <c r="P11" s="95" t="s">
        <v>46</v>
      </c>
    </row>
    <row r="12" spans="2:16" x14ac:dyDescent="0.3">
      <c r="B12" s="93" t="s">
        <v>79</v>
      </c>
      <c r="D12" s="41" t="str">
        <f>B2</f>
        <v>CLIENT</v>
      </c>
      <c r="E12" s="188" t="s">
        <v>366</v>
      </c>
      <c r="F12" s="188"/>
      <c r="G12" s="188"/>
      <c r="H12" s="188" t="s">
        <v>385</v>
      </c>
      <c r="I12" s="188" t="s">
        <v>380</v>
      </c>
      <c r="J12" s="188"/>
      <c r="K12" s="188" t="s">
        <v>342</v>
      </c>
      <c r="O12" s="96" t="s">
        <v>368</v>
      </c>
      <c r="P12" s="188" t="s">
        <v>380</v>
      </c>
    </row>
    <row r="13" spans="2:16" x14ac:dyDescent="0.3">
      <c r="B13" s="93" t="s">
        <v>9</v>
      </c>
      <c r="D13" s="96" t="str">
        <f>Summary!D14</f>
        <v>Cochrane</v>
      </c>
      <c r="E13" s="96" t="s">
        <v>374</v>
      </c>
      <c r="F13" s="96" t="s">
        <v>374</v>
      </c>
      <c r="G13" s="96" t="s">
        <v>374</v>
      </c>
      <c r="H13" s="96" t="s">
        <v>374</v>
      </c>
      <c r="I13" s="96" t="s">
        <v>379</v>
      </c>
      <c r="J13" s="96" t="s">
        <v>373</v>
      </c>
      <c r="K13" s="96" t="s">
        <v>373</v>
      </c>
      <c r="O13" s="96" t="s">
        <v>368</v>
      </c>
      <c r="P13" s="96" t="s">
        <v>379</v>
      </c>
    </row>
    <row r="14" spans="2:16" s="99" customFormat="1" x14ac:dyDescent="0.3">
      <c r="B14" s="99" t="s">
        <v>80</v>
      </c>
      <c r="D14" s="98">
        <f t="shared" ref="D14:E14" si="2">IFERROR(D9/D17,"n/a")</f>
        <v>391.78785286569718</v>
      </c>
      <c r="E14" s="98">
        <f t="shared" si="2"/>
        <v>350.19920318725099</v>
      </c>
      <c r="F14" s="98">
        <f t="shared" ref="F14:K14" si="3">IFERROR(F9/F17,"n/a")</f>
        <v>291.41716566866268</v>
      </c>
      <c r="G14" s="98">
        <f>IFERROR(G9/G17,"n/a")</f>
        <v>337.07865168539325</v>
      </c>
      <c r="H14" s="98">
        <f t="shared" si="3"/>
        <v>335.29139685476412</v>
      </c>
      <c r="I14" s="98">
        <f t="shared" si="3"/>
        <v>288.3375742154368</v>
      </c>
      <c r="J14" s="98">
        <f t="shared" si="3"/>
        <v>352.40464344941955</v>
      </c>
      <c r="K14" s="98">
        <f t="shared" si="3"/>
        <v>377.68994290733423</v>
      </c>
      <c r="M14" s="98"/>
      <c r="N14" s="180"/>
      <c r="O14" s="96"/>
      <c r="P14" s="98">
        <f>IFERROR(P9/P17,"n/a")</f>
        <v>351.64451009354997</v>
      </c>
    </row>
    <row r="15" spans="2:16" s="99" customFormat="1" x14ac:dyDescent="0.3">
      <c r="B15" s="99" t="s">
        <v>81</v>
      </c>
      <c r="D15" s="95"/>
      <c r="E15" s="95"/>
      <c r="F15" s="95">
        <v>45947</v>
      </c>
      <c r="G15" s="95">
        <v>45784</v>
      </c>
      <c r="H15" s="95">
        <v>45978</v>
      </c>
      <c r="I15" s="95">
        <v>46042</v>
      </c>
      <c r="J15" s="95">
        <v>45744</v>
      </c>
      <c r="K15" s="95">
        <v>46014</v>
      </c>
      <c r="M15" s="95"/>
      <c r="N15" s="180"/>
      <c r="O15" s="96"/>
      <c r="P15" s="95">
        <v>46042</v>
      </c>
    </row>
    <row r="16" spans="2:16" x14ac:dyDescent="0.3">
      <c r="O16" s="180"/>
    </row>
    <row r="17" spans="1:16" s="101" customFormat="1" x14ac:dyDescent="0.3">
      <c r="B17" s="101" t="s">
        <v>82</v>
      </c>
      <c r="D17" s="174">
        <f>Summary!D20</f>
        <v>2338</v>
      </c>
      <c r="E17" s="100">
        <v>2510</v>
      </c>
      <c r="F17" s="100">
        <v>2505</v>
      </c>
      <c r="G17" s="100">
        <v>2492</v>
      </c>
      <c r="H17" s="100">
        <v>2162</v>
      </c>
      <c r="I17" s="100">
        <v>2358</v>
      </c>
      <c r="J17" s="100">
        <v>2412</v>
      </c>
      <c r="K17" s="100">
        <v>2277</v>
      </c>
      <c r="M17" s="100"/>
      <c r="P17" s="100">
        <v>2031</v>
      </c>
    </row>
    <row r="18" spans="1:16" s="101" customFormat="1" x14ac:dyDescent="0.3">
      <c r="B18" s="101" t="s">
        <v>83</v>
      </c>
      <c r="D18" s="100">
        <f>Summary!D19</f>
        <v>3681.2538</v>
      </c>
      <c r="E18" s="100"/>
      <c r="F18" s="100">
        <v>3699</v>
      </c>
      <c r="G18" s="100">
        <v>3763</v>
      </c>
      <c r="H18" s="100">
        <v>3799</v>
      </c>
      <c r="I18" s="100">
        <v>3896</v>
      </c>
      <c r="J18" s="189">
        <v>4370</v>
      </c>
      <c r="K18" s="100">
        <v>3926</v>
      </c>
      <c r="M18" s="100"/>
      <c r="N18" s="180"/>
      <c r="P18" s="100">
        <v>3674</v>
      </c>
    </row>
    <row r="19" spans="1:16" s="101" customFormat="1" x14ac:dyDescent="0.3">
      <c r="B19" s="101" t="s">
        <v>84</v>
      </c>
      <c r="D19" s="100" t="s">
        <v>85</v>
      </c>
      <c r="E19" s="100" t="s">
        <v>85</v>
      </c>
      <c r="F19" s="100" t="s">
        <v>85</v>
      </c>
      <c r="G19" s="100" t="s">
        <v>85</v>
      </c>
      <c r="H19" s="100" t="s">
        <v>85</v>
      </c>
      <c r="I19" s="100" t="s">
        <v>85</v>
      </c>
      <c r="J19" s="100" t="s">
        <v>85</v>
      </c>
      <c r="K19" s="100" t="s">
        <v>85</v>
      </c>
      <c r="M19" s="100"/>
      <c r="N19" s="96"/>
      <c r="P19" s="100" t="s">
        <v>85</v>
      </c>
    </row>
    <row r="20" spans="1:16" s="101" customFormat="1" x14ac:dyDescent="0.3">
      <c r="B20" s="101" t="s">
        <v>86</v>
      </c>
      <c r="D20" s="100" t="s">
        <v>87</v>
      </c>
      <c r="E20" s="100" t="s">
        <v>87</v>
      </c>
      <c r="F20" s="100" t="s">
        <v>87</v>
      </c>
      <c r="G20" s="100" t="s">
        <v>87</v>
      </c>
      <c r="H20" s="100" t="s">
        <v>87</v>
      </c>
      <c r="I20" s="100" t="s">
        <v>87</v>
      </c>
      <c r="J20" s="100" t="s">
        <v>87</v>
      </c>
      <c r="K20" s="100" t="s">
        <v>87</v>
      </c>
      <c r="M20" s="100"/>
      <c r="N20" s="96"/>
      <c r="P20" s="100" t="s">
        <v>87</v>
      </c>
    </row>
    <row r="21" spans="1:16" x14ac:dyDescent="0.3">
      <c r="B21" s="93" t="s">
        <v>12</v>
      </c>
      <c r="D21" s="173">
        <f>Summary!D16</f>
        <v>2026</v>
      </c>
      <c r="E21" s="96">
        <v>2026</v>
      </c>
      <c r="F21" s="96">
        <v>2025</v>
      </c>
      <c r="G21" s="96">
        <v>2025</v>
      </c>
      <c r="H21" s="96">
        <v>2025</v>
      </c>
      <c r="I21" s="96">
        <v>2025</v>
      </c>
      <c r="J21" s="96">
        <v>2018</v>
      </c>
      <c r="K21" s="96">
        <v>2022</v>
      </c>
      <c r="N21" s="180"/>
      <c r="P21" s="96">
        <v>2025</v>
      </c>
    </row>
    <row r="22" spans="1:16" x14ac:dyDescent="0.3">
      <c r="B22" s="93" t="s">
        <v>88</v>
      </c>
      <c r="D22" s="96">
        <v>3</v>
      </c>
      <c r="E22" s="96">
        <v>4</v>
      </c>
      <c r="F22" s="96">
        <v>3</v>
      </c>
      <c r="G22" s="96">
        <v>4</v>
      </c>
      <c r="H22" s="96">
        <v>3</v>
      </c>
      <c r="I22" s="96">
        <v>4</v>
      </c>
      <c r="J22" s="96">
        <v>5</v>
      </c>
      <c r="K22" s="96">
        <v>3</v>
      </c>
      <c r="N22" s="96" t="s">
        <v>376</v>
      </c>
      <c r="P22" s="96">
        <v>4</v>
      </c>
    </row>
    <row r="23" spans="1:16" x14ac:dyDescent="0.3">
      <c r="B23" s="93" t="s">
        <v>89</v>
      </c>
      <c r="D23" s="96">
        <v>3.5</v>
      </c>
      <c r="E23" s="96">
        <v>2.5</v>
      </c>
      <c r="F23" s="96">
        <v>3</v>
      </c>
      <c r="G23" s="96">
        <v>3.5</v>
      </c>
      <c r="H23" s="96">
        <v>2.5</v>
      </c>
      <c r="I23" s="96">
        <v>2</v>
      </c>
      <c r="J23" s="96">
        <v>5</v>
      </c>
      <c r="K23" s="96">
        <v>3.5</v>
      </c>
      <c r="N23" s="180" t="s">
        <v>364</v>
      </c>
      <c r="P23" s="96">
        <v>2</v>
      </c>
    </row>
    <row r="24" spans="1:16" x14ac:dyDescent="0.3">
      <c r="B24" s="93" t="s">
        <v>90</v>
      </c>
      <c r="D24" s="96" t="s">
        <v>338</v>
      </c>
      <c r="E24" s="96" t="s">
        <v>336</v>
      </c>
      <c r="F24" s="96" t="s">
        <v>336</v>
      </c>
      <c r="G24" s="96" t="s">
        <v>91</v>
      </c>
      <c r="H24" s="96" t="s">
        <v>336</v>
      </c>
      <c r="I24" s="96" t="s">
        <v>336</v>
      </c>
      <c r="J24" s="96" t="s">
        <v>91</v>
      </c>
      <c r="K24" s="96" t="s">
        <v>91</v>
      </c>
      <c r="N24" s="180" t="s">
        <v>362</v>
      </c>
      <c r="O24" s="96" t="s">
        <v>368</v>
      </c>
      <c r="P24" s="96" t="s">
        <v>336</v>
      </c>
    </row>
    <row r="25" spans="1:16" x14ac:dyDescent="0.3">
      <c r="B25" s="93" t="s">
        <v>92</v>
      </c>
      <c r="D25" s="96" t="s">
        <v>365</v>
      </c>
      <c r="E25" s="96" t="s">
        <v>365</v>
      </c>
      <c r="F25" s="96" t="s">
        <v>365</v>
      </c>
      <c r="G25" s="96" t="s">
        <v>365</v>
      </c>
      <c r="H25" s="96" t="s">
        <v>365</v>
      </c>
      <c r="I25" s="96" t="s">
        <v>365</v>
      </c>
      <c r="J25" s="96" t="s">
        <v>365</v>
      </c>
      <c r="K25" s="96" t="s">
        <v>365</v>
      </c>
      <c r="N25" s="180" t="s">
        <v>363</v>
      </c>
      <c r="O25" s="96" t="s">
        <v>368</v>
      </c>
      <c r="P25" s="96" t="s">
        <v>365</v>
      </c>
    </row>
    <row r="26" spans="1:16" x14ac:dyDescent="0.3">
      <c r="B26" s="93" t="s">
        <v>93</v>
      </c>
      <c r="D26" s="96" t="s">
        <v>337</v>
      </c>
      <c r="E26" s="96" t="s">
        <v>337</v>
      </c>
      <c r="F26" s="96" t="s">
        <v>337</v>
      </c>
      <c r="G26" s="96" t="s">
        <v>335</v>
      </c>
      <c r="H26" s="96" t="s">
        <v>94</v>
      </c>
      <c r="I26" s="96" t="s">
        <v>335</v>
      </c>
      <c r="J26" s="96" t="s">
        <v>337</v>
      </c>
      <c r="K26" s="96" t="s">
        <v>335</v>
      </c>
      <c r="P26" s="96" t="s">
        <v>335</v>
      </c>
    </row>
    <row r="27" spans="1:16" x14ac:dyDescent="0.3">
      <c r="B27" s="93" t="s">
        <v>95</v>
      </c>
      <c r="D27" s="96" t="s">
        <v>40</v>
      </c>
      <c r="E27" s="96" t="s">
        <v>40</v>
      </c>
      <c r="F27" s="96" t="s">
        <v>40</v>
      </c>
      <c r="G27" s="96" t="s">
        <v>40</v>
      </c>
      <c r="H27" s="96" t="s">
        <v>40</v>
      </c>
      <c r="I27" s="96" t="s">
        <v>40</v>
      </c>
      <c r="J27" s="96" t="s">
        <v>40</v>
      </c>
      <c r="K27" s="96" t="s">
        <v>40</v>
      </c>
      <c r="P27" s="96" t="s">
        <v>40</v>
      </c>
    </row>
    <row r="28" spans="1:16" x14ac:dyDescent="0.3">
      <c r="B28" s="93" t="s">
        <v>96</v>
      </c>
      <c r="D28" s="96" t="s">
        <v>94</v>
      </c>
      <c r="E28" s="96" t="s">
        <v>94</v>
      </c>
      <c r="F28" s="96" t="s">
        <v>94</v>
      </c>
      <c r="G28" s="96" t="s">
        <v>94</v>
      </c>
      <c r="H28" s="96" t="s">
        <v>94</v>
      </c>
      <c r="I28" s="96" t="s">
        <v>334</v>
      </c>
      <c r="J28" s="96" t="s">
        <v>94</v>
      </c>
      <c r="K28" s="96" t="s">
        <v>94</v>
      </c>
      <c r="M28" s="192"/>
      <c r="P28" s="96" t="s">
        <v>334</v>
      </c>
    </row>
    <row r="29" spans="1:16" s="103" customFormat="1" ht="68.25" customHeight="1" x14ac:dyDescent="0.3">
      <c r="B29" s="103" t="s">
        <v>58</v>
      </c>
      <c r="D29" s="187" t="s">
        <v>390</v>
      </c>
      <c r="E29" s="102"/>
      <c r="F29" s="102" t="s">
        <v>370</v>
      </c>
      <c r="G29" s="102" t="s">
        <v>372</v>
      </c>
      <c r="H29" s="102" t="s">
        <v>386</v>
      </c>
      <c r="I29" s="102" t="s">
        <v>383</v>
      </c>
      <c r="J29" s="102" t="s">
        <v>375</v>
      </c>
      <c r="K29" s="102" t="s">
        <v>377</v>
      </c>
      <c r="M29" s="192"/>
      <c r="N29" s="96"/>
      <c r="P29" s="102"/>
    </row>
    <row r="30" spans="1:16" s="94" customFormat="1" x14ac:dyDescent="0.3">
      <c r="A30" s="103"/>
      <c r="B30" s="94" t="s">
        <v>97</v>
      </c>
      <c r="D30" s="104">
        <f t="shared" ref="D30" si="4">D9</f>
        <v>916000</v>
      </c>
      <c r="E30" s="104">
        <f t="shared" ref="E30:G30" si="5">E9</f>
        <v>879000</v>
      </c>
      <c r="F30" s="104">
        <f t="shared" si="5"/>
        <v>730000</v>
      </c>
      <c r="G30" s="104">
        <f t="shared" si="5"/>
        <v>840000</v>
      </c>
      <c r="H30" s="104">
        <f t="shared" ref="H30" si="6">H9</f>
        <v>724900</v>
      </c>
      <c r="I30" s="104">
        <f t="shared" ref="I30" si="7">I9</f>
        <v>679900</v>
      </c>
      <c r="J30" s="104">
        <f>J9</f>
        <v>850000</v>
      </c>
      <c r="K30" s="104">
        <f t="shared" ref="K30" si="8">K9</f>
        <v>860000</v>
      </c>
      <c r="M30" s="192"/>
      <c r="N30" s="96"/>
      <c r="P30" s="104">
        <f t="shared" ref="P30" si="9">P9</f>
        <v>714190</v>
      </c>
    </row>
    <row r="31" spans="1:16" s="94" customFormat="1" x14ac:dyDescent="0.3">
      <c r="A31" s="103"/>
      <c r="B31" s="146" t="str">
        <f>_xlfn.CONCAT(A31," Bid-Ask Adjustment")</f>
        <v xml:space="preserve"> Bid-Ask Adjustment</v>
      </c>
      <c r="C31" s="244">
        <v>0.05</v>
      </c>
      <c r="D31" s="105" t="s">
        <v>39</v>
      </c>
      <c r="E31" s="105">
        <f>IF(E11="Sale Price","$nil",-E30*$C$31)</f>
        <v>-43950</v>
      </c>
      <c r="F31" s="105" t="str">
        <f t="shared" ref="E31:K31" si="10">IF(F11="Sale Price","$nil",-F30*$C$31)</f>
        <v>$nil</v>
      </c>
      <c r="G31" s="105" t="str">
        <f t="shared" si="10"/>
        <v>$nil</v>
      </c>
      <c r="H31" s="105" t="str">
        <f t="shared" si="10"/>
        <v>$nil</v>
      </c>
      <c r="I31" s="105" t="str">
        <f t="shared" si="10"/>
        <v>$nil</v>
      </c>
      <c r="J31" s="105" t="str">
        <f t="shared" si="10"/>
        <v>$nil</v>
      </c>
      <c r="K31" s="105" t="str">
        <f t="shared" si="10"/>
        <v>$nil</v>
      </c>
      <c r="M31" s="192"/>
      <c r="N31" s="96"/>
      <c r="P31" s="105" t="str">
        <f>IF(P11="Sale Price","$nil",-P30*$C$31)</f>
        <v>$nil</v>
      </c>
    </row>
    <row r="32" spans="1:16" s="94" customFormat="1" x14ac:dyDescent="0.3">
      <c r="A32" s="103"/>
      <c r="B32" s="120"/>
      <c r="C32" s="105"/>
      <c r="D32" s="105"/>
      <c r="E32" s="105"/>
      <c r="F32" s="105"/>
      <c r="G32" s="105"/>
      <c r="H32" s="105"/>
      <c r="I32" s="105"/>
      <c r="J32" s="105"/>
      <c r="K32" s="105"/>
      <c r="M32" s="192"/>
      <c r="N32" s="96"/>
      <c r="P32" s="105"/>
    </row>
    <row r="33" spans="2:16" s="94" customFormat="1" x14ac:dyDescent="0.3">
      <c r="B33" s="120"/>
      <c r="C33" s="245" t="s">
        <v>339</v>
      </c>
      <c r="D33" s="105"/>
      <c r="E33" s="105"/>
      <c r="F33" s="105"/>
      <c r="G33" s="105"/>
      <c r="H33" s="105"/>
      <c r="I33" s="105"/>
      <c r="J33" s="105"/>
      <c r="K33" s="105"/>
      <c r="M33" s="192"/>
      <c r="N33" s="96"/>
      <c r="P33" s="105"/>
    </row>
    <row r="34" spans="2:16" s="94" customFormat="1" x14ac:dyDescent="0.3">
      <c r="B34" s="120" t="s">
        <v>98</v>
      </c>
      <c r="C34" s="127" t="s">
        <v>340</v>
      </c>
      <c r="D34" s="105">
        <v>0</v>
      </c>
      <c r="E34" s="105">
        <v>0</v>
      </c>
      <c r="F34" s="105">
        <v>0</v>
      </c>
      <c r="G34" s="105">
        <v>0</v>
      </c>
      <c r="H34" s="105">
        <v>0</v>
      </c>
      <c r="I34" s="105">
        <v>0</v>
      </c>
      <c r="J34" s="105">
        <f>J30*0.02</f>
        <v>17000</v>
      </c>
      <c r="K34" s="105">
        <v>0</v>
      </c>
      <c r="M34" s="192"/>
      <c r="N34" s="96"/>
      <c r="P34" s="105">
        <v>0</v>
      </c>
    </row>
    <row r="35" spans="2:16" s="94" customFormat="1" x14ac:dyDescent="0.3">
      <c r="B35" s="120" t="s">
        <v>99</v>
      </c>
      <c r="C35" s="127" t="s">
        <v>340</v>
      </c>
      <c r="D35" s="105">
        <v>0</v>
      </c>
      <c r="E35" s="105">
        <v>0</v>
      </c>
      <c r="F35" s="105">
        <v>0</v>
      </c>
      <c r="G35" s="105">
        <v>0</v>
      </c>
      <c r="H35" s="105">
        <v>0</v>
      </c>
      <c r="I35" s="105">
        <v>0</v>
      </c>
      <c r="J35" s="105">
        <v>0</v>
      </c>
      <c r="K35" s="105">
        <v>0</v>
      </c>
      <c r="M35" s="192"/>
      <c r="N35" s="96"/>
      <c r="P35" s="105">
        <v>0</v>
      </c>
    </row>
    <row r="36" spans="2:16" s="94" customFormat="1" x14ac:dyDescent="0.3">
      <c r="B36" s="120" t="s">
        <v>100</v>
      </c>
      <c r="C36" s="127" t="s">
        <v>340</v>
      </c>
      <c r="D36" s="105">
        <v>0</v>
      </c>
      <c r="E36" s="105">
        <v>0</v>
      </c>
      <c r="F36" s="105">
        <v>0</v>
      </c>
      <c r="G36" s="105">
        <v>0</v>
      </c>
      <c r="H36" s="105">
        <v>0</v>
      </c>
      <c r="I36" s="105">
        <v>0</v>
      </c>
      <c r="J36" s="105">
        <v>10000</v>
      </c>
      <c r="K36" s="105">
        <v>0</v>
      </c>
      <c r="M36" s="192"/>
      <c r="N36" s="96"/>
      <c r="P36" s="105">
        <v>0</v>
      </c>
    </row>
    <row r="37" spans="2:16" s="94" customFormat="1" x14ac:dyDescent="0.3">
      <c r="B37" s="120" t="s">
        <v>101</v>
      </c>
      <c r="C37" s="127" t="s">
        <v>341</v>
      </c>
      <c r="D37" s="105">
        <v>0</v>
      </c>
      <c r="E37" s="105">
        <f>($D$22-E22)*$D73</f>
        <v>-2500</v>
      </c>
      <c r="F37" s="105">
        <f t="shared" ref="F37:G37" si="11">($D$22-F22)*$D73</f>
        <v>0</v>
      </c>
      <c r="G37" s="105">
        <f t="shared" si="11"/>
        <v>-2500</v>
      </c>
      <c r="H37" s="105">
        <f t="shared" ref="H37" si="12">($D$22-H22)*$D73</f>
        <v>0</v>
      </c>
      <c r="I37" s="105">
        <f t="shared" ref="I37" si="13">($D$22-I22)*$D73</f>
        <v>-2500</v>
      </c>
      <c r="J37" s="105">
        <f>($D$22-J22)*$D73</f>
        <v>-5000</v>
      </c>
      <c r="K37" s="105">
        <f t="shared" ref="K37" si="14">($D$22-K22)*$D73</f>
        <v>0</v>
      </c>
      <c r="M37" s="192"/>
      <c r="N37" s="96"/>
      <c r="P37" s="105">
        <f t="shared" ref="P37" si="15">($D$22-P22)*$D73</f>
        <v>-2500</v>
      </c>
    </row>
    <row r="38" spans="2:16" s="94" customFormat="1" x14ac:dyDescent="0.3">
      <c r="B38" s="120" t="s">
        <v>103</v>
      </c>
      <c r="C38" s="127" t="s">
        <v>341</v>
      </c>
      <c r="D38" s="105">
        <v>0</v>
      </c>
      <c r="E38" s="105">
        <f t="shared" ref="E38:K38" si="16">($D$23-E23)*$D$74</f>
        <v>7500</v>
      </c>
      <c r="F38" s="105">
        <f t="shared" si="16"/>
        <v>3750</v>
      </c>
      <c r="G38" s="105">
        <f t="shared" si="16"/>
        <v>0</v>
      </c>
      <c r="H38" s="105">
        <f t="shared" si="16"/>
        <v>7500</v>
      </c>
      <c r="I38" s="105">
        <f t="shared" si="16"/>
        <v>11250</v>
      </c>
      <c r="J38" s="105">
        <f t="shared" si="16"/>
        <v>-11250</v>
      </c>
      <c r="K38" s="105">
        <f t="shared" si="16"/>
        <v>0</v>
      </c>
      <c r="M38" s="192"/>
      <c r="N38" s="96"/>
      <c r="P38" s="105">
        <f>($D$23-P23)*$D$74</f>
        <v>11250</v>
      </c>
    </row>
    <row r="39" spans="2:16" s="94" customFormat="1" x14ac:dyDescent="0.3">
      <c r="B39" s="120" t="s">
        <v>102</v>
      </c>
      <c r="C39" s="127" t="s">
        <v>340</v>
      </c>
      <c r="D39" s="105">
        <v>0</v>
      </c>
      <c r="E39" s="105">
        <v>0</v>
      </c>
      <c r="F39" s="105">
        <v>0</v>
      </c>
      <c r="G39" s="105">
        <v>0</v>
      </c>
      <c r="H39" s="105">
        <v>0</v>
      </c>
      <c r="I39" s="105">
        <v>0</v>
      </c>
      <c r="J39" s="105">
        <v>0</v>
      </c>
      <c r="K39" s="105">
        <v>0</v>
      </c>
      <c r="M39" s="192"/>
      <c r="N39" s="96"/>
      <c r="P39" s="105">
        <v>0</v>
      </c>
    </row>
    <row r="40" spans="2:16" s="94" customFormat="1" x14ac:dyDescent="0.3">
      <c r="B40" s="120" t="s">
        <v>104</v>
      </c>
      <c r="C40" s="127" t="s">
        <v>340</v>
      </c>
      <c r="D40" s="105">
        <v>0</v>
      </c>
      <c r="E40" s="105">
        <f>E17*$D$77*$D$78</f>
        <v>40160</v>
      </c>
      <c r="F40" s="105">
        <f>F17*$D$77*$D$78</f>
        <v>40080</v>
      </c>
      <c r="G40" s="105">
        <v>0</v>
      </c>
      <c r="H40" s="105">
        <f>H17*$D$77*$D$78</f>
        <v>34592</v>
      </c>
      <c r="I40" s="105">
        <f>I17*$D$77*$D$78</f>
        <v>37728</v>
      </c>
      <c r="J40" s="105">
        <v>0</v>
      </c>
      <c r="K40" s="105">
        <v>0</v>
      </c>
      <c r="M40" s="192"/>
      <c r="N40" s="96"/>
      <c r="P40" s="105">
        <v>0</v>
      </c>
    </row>
    <row r="41" spans="2:16" s="94" customFormat="1" x14ac:dyDescent="0.3">
      <c r="B41" s="120" t="s">
        <v>105</v>
      </c>
      <c r="C41" s="127" t="s">
        <v>340</v>
      </c>
      <c r="D41" s="105">
        <v>0</v>
      </c>
      <c r="E41" s="105">
        <v>0</v>
      </c>
      <c r="F41" s="105">
        <v>0</v>
      </c>
      <c r="G41" s="105">
        <v>0</v>
      </c>
      <c r="H41" s="105">
        <v>0</v>
      </c>
      <c r="I41" s="105">
        <v>10000</v>
      </c>
      <c r="J41" s="105">
        <v>0</v>
      </c>
      <c r="K41" s="105">
        <v>0</v>
      </c>
      <c r="M41" s="192"/>
      <c r="N41" s="96"/>
      <c r="P41" s="105">
        <v>0</v>
      </c>
    </row>
    <row r="42" spans="2:16" s="94" customFormat="1" x14ac:dyDescent="0.3">
      <c r="B42" s="120" t="s">
        <v>106</v>
      </c>
      <c r="C42" s="127" t="s">
        <v>340</v>
      </c>
      <c r="D42" s="105">
        <v>0</v>
      </c>
      <c r="E42" s="105">
        <v>0</v>
      </c>
      <c r="F42" s="105">
        <v>0</v>
      </c>
      <c r="G42" s="105">
        <v>0</v>
      </c>
      <c r="H42" s="105">
        <v>0</v>
      </c>
      <c r="I42" s="105">
        <v>0</v>
      </c>
      <c r="J42" s="105">
        <v>0</v>
      </c>
      <c r="K42" s="105">
        <v>0</v>
      </c>
      <c r="M42" s="192"/>
      <c r="N42" s="96"/>
      <c r="P42" s="105">
        <v>0</v>
      </c>
    </row>
    <row r="43" spans="2:16" s="94" customFormat="1" x14ac:dyDescent="0.3">
      <c r="B43" s="120" t="s">
        <v>107</v>
      </c>
      <c r="C43" s="127" t="s">
        <v>340</v>
      </c>
      <c r="D43" s="105">
        <v>0</v>
      </c>
      <c r="E43" s="105">
        <v>0</v>
      </c>
      <c r="F43" s="105">
        <v>0</v>
      </c>
      <c r="G43" s="105">
        <v>0</v>
      </c>
      <c r="H43" s="105">
        <v>0</v>
      </c>
      <c r="I43" s="105">
        <v>0</v>
      </c>
      <c r="J43" s="105">
        <v>0</v>
      </c>
      <c r="K43" s="105">
        <v>0</v>
      </c>
      <c r="M43" s="192"/>
      <c r="N43" s="96"/>
      <c r="P43" s="105">
        <v>0</v>
      </c>
    </row>
    <row r="44" spans="2:16" s="94" customFormat="1" x14ac:dyDescent="0.3">
      <c r="B44" s="120" t="s">
        <v>108</v>
      </c>
      <c r="C44" s="127" t="s">
        <v>340</v>
      </c>
      <c r="D44" s="105">
        <v>0</v>
      </c>
      <c r="E44" s="105">
        <v>0</v>
      </c>
      <c r="F44" s="105">
        <v>0</v>
      </c>
      <c r="G44" s="105">
        <v>0</v>
      </c>
      <c r="H44" s="105">
        <v>0</v>
      </c>
      <c r="I44" s="105">
        <v>0</v>
      </c>
      <c r="J44" s="105">
        <v>0</v>
      </c>
      <c r="K44" s="105">
        <v>0</v>
      </c>
      <c r="M44" s="192"/>
      <c r="N44" s="96"/>
      <c r="P44" s="105">
        <v>0</v>
      </c>
    </row>
    <row r="45" spans="2:16" s="94" customFormat="1" x14ac:dyDescent="0.3">
      <c r="B45" s="242" t="s">
        <v>109</v>
      </c>
      <c r="C45" s="243" t="s">
        <v>340</v>
      </c>
      <c r="D45" s="104">
        <v>0</v>
      </c>
      <c r="E45" s="104">
        <v>0</v>
      </c>
      <c r="F45" s="104">
        <v>0</v>
      </c>
      <c r="G45" s="104">
        <v>0</v>
      </c>
      <c r="H45" s="104">
        <v>0</v>
      </c>
      <c r="I45" s="104">
        <v>0</v>
      </c>
      <c r="J45" s="104">
        <v>0</v>
      </c>
      <c r="K45" s="104">
        <v>0</v>
      </c>
      <c r="M45" s="192"/>
      <c r="N45" s="96"/>
      <c r="P45" s="104">
        <v>0</v>
      </c>
    </row>
    <row r="46" spans="2:16" s="94" customFormat="1" x14ac:dyDescent="0.3">
      <c r="B46" s="120" t="s">
        <v>110</v>
      </c>
      <c r="C46" s="120"/>
      <c r="D46" s="105">
        <v>0</v>
      </c>
      <c r="E46" s="105">
        <f t="shared" ref="E46:K46" si="17">SUM(E34:E45)</f>
        <v>45160</v>
      </c>
      <c r="F46" s="105">
        <f t="shared" si="17"/>
        <v>43830</v>
      </c>
      <c r="G46" s="105">
        <f t="shared" si="17"/>
        <v>-2500</v>
      </c>
      <c r="H46" s="105">
        <f t="shared" si="17"/>
        <v>42092</v>
      </c>
      <c r="I46" s="105">
        <f t="shared" si="17"/>
        <v>56478</v>
      </c>
      <c r="J46" s="105">
        <f t="shared" si="17"/>
        <v>10750</v>
      </c>
      <c r="K46" s="105">
        <f t="shared" si="17"/>
        <v>0</v>
      </c>
      <c r="M46" s="192"/>
      <c r="N46" s="96"/>
      <c r="P46" s="105">
        <f>SUM(P34:P45)</f>
        <v>8750</v>
      </c>
    </row>
    <row r="47" spans="2:16" s="94" customFormat="1" x14ac:dyDescent="0.3">
      <c r="B47" s="120"/>
      <c r="C47" s="120"/>
      <c r="D47" s="105"/>
      <c r="E47" s="105"/>
      <c r="F47" s="105"/>
      <c r="G47" s="105"/>
      <c r="H47" s="105"/>
      <c r="I47" s="105"/>
      <c r="J47" s="105"/>
      <c r="K47" s="105"/>
      <c r="M47" s="192"/>
      <c r="N47" s="96"/>
      <c r="P47" s="105"/>
    </row>
    <row r="48" spans="2:16" s="94" customFormat="1" x14ac:dyDescent="0.3">
      <c r="B48" s="146" t="s">
        <v>111</v>
      </c>
      <c r="C48" s="146"/>
      <c r="D48" s="106">
        <f t="shared" ref="D48:K48" si="18">SUM(D30,D31,D46)</f>
        <v>916000</v>
      </c>
      <c r="E48" s="106">
        <f t="shared" si="18"/>
        <v>880210</v>
      </c>
      <c r="F48" s="106">
        <f t="shared" si="18"/>
        <v>773830</v>
      </c>
      <c r="G48" s="106">
        <f t="shared" si="18"/>
        <v>837500</v>
      </c>
      <c r="H48" s="106">
        <f t="shared" si="18"/>
        <v>766992</v>
      </c>
      <c r="I48" s="106">
        <f t="shared" si="18"/>
        <v>736378</v>
      </c>
      <c r="J48" s="106">
        <f t="shared" si="18"/>
        <v>860750</v>
      </c>
      <c r="K48" s="106">
        <f t="shared" si="18"/>
        <v>860000</v>
      </c>
      <c r="M48" s="192"/>
      <c r="N48" s="96"/>
      <c r="P48" s="106">
        <f>SUM(P30,P31,P46)</f>
        <v>722940</v>
      </c>
    </row>
    <row r="49" spans="2:16" s="108" customFormat="1" x14ac:dyDescent="0.3">
      <c r="B49" s="129" t="s">
        <v>112</v>
      </c>
      <c r="C49" s="129"/>
      <c r="D49" s="107">
        <f t="shared" ref="D49:K49" si="19">IFERROR(D48/D17,"N/A")</f>
        <v>391.78785286569718</v>
      </c>
      <c r="E49" s="254">
        <f t="shared" si="19"/>
        <v>350.68127490039842</v>
      </c>
      <c r="F49" s="107">
        <f t="shared" si="19"/>
        <v>308.91417165668662</v>
      </c>
      <c r="G49" s="254">
        <f t="shared" si="19"/>
        <v>336.07544141252009</v>
      </c>
      <c r="H49" s="254">
        <f t="shared" si="19"/>
        <v>354.76040703052729</v>
      </c>
      <c r="I49" s="107">
        <f t="shared" si="19"/>
        <v>312.2892281594572</v>
      </c>
      <c r="J49" s="254">
        <f t="shared" si="19"/>
        <v>356.86152570480931</v>
      </c>
      <c r="K49" s="254">
        <f t="shared" si="19"/>
        <v>377.68994290733423</v>
      </c>
      <c r="M49" s="192"/>
      <c r="N49" s="96"/>
      <c r="P49" s="107">
        <f>IFERROR(P48/P17,"N/A")</f>
        <v>355.95273264401771</v>
      </c>
    </row>
    <row r="50" spans="2:16" x14ac:dyDescent="0.3">
      <c r="B50" s="115"/>
      <c r="C50" s="115"/>
      <c r="D50" s="109"/>
      <c r="M50" s="192"/>
    </row>
    <row r="51" spans="2:16" ht="15.6" x14ac:dyDescent="0.3">
      <c r="B51" s="138" t="s">
        <v>113</v>
      </c>
      <c r="C51" s="138"/>
      <c r="D51" s="139"/>
      <c r="E51" s="139"/>
      <c r="F51" s="139"/>
      <c r="G51" s="139"/>
      <c r="H51" s="139"/>
      <c r="I51" s="139"/>
      <c r="J51" s="139"/>
      <c r="K51" s="139"/>
      <c r="M51" s="192"/>
      <c r="P51" s="139"/>
    </row>
    <row r="52" spans="2:16" x14ac:dyDescent="0.3">
      <c r="B52" s="115"/>
      <c r="C52" s="115"/>
      <c r="D52" s="109"/>
    </row>
    <row r="53" spans="2:16" ht="16.2" x14ac:dyDescent="0.3">
      <c r="B53" s="115"/>
      <c r="C53" s="115"/>
      <c r="D53" s="126" t="s">
        <v>114</v>
      </c>
      <c r="E53" s="126" t="s">
        <v>115</v>
      </c>
      <c r="F53" s="126"/>
      <c r="G53" s="126"/>
      <c r="H53" s="126"/>
      <c r="I53" s="126"/>
      <c r="K53" s="126"/>
      <c r="P53" s="126"/>
    </row>
    <row r="54" spans="2:16" s="99" customFormat="1" x14ac:dyDescent="0.3">
      <c r="B54" s="119" t="s">
        <v>63</v>
      </c>
      <c r="C54" s="119"/>
      <c r="D54" s="98">
        <f>MIN($E$49:$K$49)</f>
        <v>308.91417165668662</v>
      </c>
      <c r="E54" s="105">
        <f t="shared" ref="E54:E59" si="20">IFERROR(D54*$D$17,"TBD")</f>
        <v>722241.33333333337</v>
      </c>
      <c r="F54" s="105"/>
      <c r="G54" s="105"/>
      <c r="H54" s="105"/>
      <c r="I54" s="105"/>
      <c r="J54" s="105"/>
      <c r="K54" s="105"/>
      <c r="M54" s="105"/>
      <c r="N54" s="96"/>
      <c r="P54" s="105"/>
    </row>
    <row r="55" spans="2:16" s="99" customFormat="1" x14ac:dyDescent="0.3">
      <c r="B55" s="119" t="s">
        <v>64</v>
      </c>
      <c r="C55" s="119"/>
      <c r="D55" s="98">
        <f>_xlfn.PERCENTILE.INC($E$49:$K$49,0.25)</f>
        <v>324.18233478598864</v>
      </c>
      <c r="E55" s="105">
        <f t="shared" si="20"/>
        <v>757938.29872964148</v>
      </c>
      <c r="F55" s="105"/>
      <c r="G55" s="105"/>
      <c r="H55" s="105"/>
      <c r="I55" s="105"/>
      <c r="J55" s="105"/>
      <c r="K55" s="105"/>
      <c r="M55" s="105"/>
      <c r="N55" s="96"/>
      <c r="P55" s="105"/>
    </row>
    <row r="56" spans="2:16" s="99" customFormat="1" x14ac:dyDescent="0.3">
      <c r="B56" s="119" t="s">
        <v>65</v>
      </c>
      <c r="C56" s="119"/>
      <c r="D56" s="98">
        <f>AVERAGE($E$49:$K$49)</f>
        <v>342.46742739596192</v>
      </c>
      <c r="E56" s="105">
        <f t="shared" si="20"/>
        <v>800688.84525175893</v>
      </c>
      <c r="F56" s="105"/>
      <c r="G56" s="105"/>
      <c r="H56" s="105"/>
      <c r="I56" s="105"/>
      <c r="J56" s="105"/>
      <c r="K56" s="105"/>
      <c r="M56" s="105"/>
      <c r="N56" s="96"/>
      <c r="P56" s="105"/>
    </row>
    <row r="57" spans="2:16" s="99" customFormat="1" x14ac:dyDescent="0.3">
      <c r="B57" s="119" t="s">
        <v>116</v>
      </c>
      <c r="C57" s="119"/>
      <c r="D57" s="98">
        <f>SUM($E$48:$K$48)/SUM($E$17:$K$17)</f>
        <v>341.92749461593684</v>
      </c>
      <c r="E57" s="105">
        <f>IFERROR(D57*$D$17,"TBD")</f>
        <v>799426.48241206037</v>
      </c>
      <c r="F57" s="105"/>
      <c r="G57" s="105"/>
      <c r="H57" s="105"/>
      <c r="I57" s="105"/>
      <c r="J57" s="105"/>
      <c r="K57" s="105"/>
      <c r="M57" s="105"/>
      <c r="N57" s="96"/>
      <c r="P57" s="105"/>
    </row>
    <row r="58" spans="2:16" s="99" customFormat="1" x14ac:dyDescent="0.3">
      <c r="B58" s="119" t="s">
        <v>67</v>
      </c>
      <c r="C58" s="119"/>
      <c r="D58" s="98">
        <f>_xlfn.PERCENTILE.INC($E$49:$K$49,0.75)</f>
        <v>355.8109663676683</v>
      </c>
      <c r="E58" s="105">
        <f>IFERROR(D58*$D$17,"TBD")</f>
        <v>831886.03936760849</v>
      </c>
      <c r="F58" s="105"/>
      <c r="G58" s="105"/>
      <c r="H58" s="105"/>
      <c r="I58" s="105"/>
      <c r="J58" s="105"/>
      <c r="K58" s="105"/>
      <c r="M58" s="105"/>
      <c r="N58" s="96"/>
      <c r="P58" s="105"/>
    </row>
    <row r="59" spans="2:16" s="99" customFormat="1" x14ac:dyDescent="0.3">
      <c r="B59" s="119" t="s">
        <v>68</v>
      </c>
      <c r="C59" s="119"/>
      <c r="D59" s="98">
        <f>MAX($E$49:$K$49)</f>
        <v>377.68994290733423</v>
      </c>
      <c r="E59" s="105">
        <f t="shared" si="20"/>
        <v>883039.08651734737</v>
      </c>
      <c r="F59" s="105"/>
      <c r="G59" s="105"/>
      <c r="H59" s="105"/>
      <c r="I59" s="105"/>
      <c r="J59" s="105"/>
      <c r="K59" s="105"/>
      <c r="M59" s="105"/>
      <c r="N59" s="96"/>
      <c r="P59" s="105"/>
    </row>
    <row r="60" spans="2:16" s="99" customFormat="1" x14ac:dyDescent="0.3">
      <c r="B60" s="119" t="s">
        <v>69</v>
      </c>
      <c r="C60" s="119"/>
      <c r="D60" s="98">
        <f>_xlfn.STDEV.P(E49:K49)</f>
        <v>23.126368589220846</v>
      </c>
      <c r="E60" s="98"/>
      <c r="F60" s="98"/>
      <c r="G60" s="98"/>
      <c r="H60" s="98"/>
      <c r="I60" s="98"/>
      <c r="J60" s="98"/>
      <c r="K60" s="98"/>
      <c r="M60" s="98"/>
      <c r="N60" s="96"/>
      <c r="P60" s="98"/>
    </row>
    <row r="61" spans="2:16" s="99" customFormat="1" x14ac:dyDescent="0.3">
      <c r="B61" s="135" t="s">
        <v>74</v>
      </c>
      <c r="C61" s="135"/>
      <c r="D61" s="136">
        <f>D49</f>
        <v>391.78785286569718</v>
      </c>
      <c r="E61" s="137">
        <f>D48</f>
        <v>916000</v>
      </c>
      <c r="F61" s="127"/>
      <c r="G61" s="127"/>
      <c r="H61" s="127"/>
      <c r="I61" s="127"/>
      <c r="J61" s="98"/>
      <c r="K61" s="127"/>
      <c r="M61" s="98"/>
      <c r="N61" s="96"/>
      <c r="P61" s="127"/>
    </row>
    <row r="62" spans="2:16" s="99" customFormat="1" x14ac:dyDescent="0.3">
      <c r="B62" s="119"/>
      <c r="C62" s="119"/>
      <c r="D62" s="98"/>
      <c r="E62" s="127"/>
      <c r="F62" s="127"/>
      <c r="G62" s="127"/>
      <c r="H62" s="127"/>
      <c r="I62" s="127"/>
      <c r="J62" s="98"/>
      <c r="K62" s="127"/>
      <c r="M62" s="98"/>
      <c r="N62" s="96"/>
      <c r="P62" s="127"/>
    </row>
    <row r="63" spans="2:16" s="99" customFormat="1" ht="15" thickBot="1" x14ac:dyDescent="0.35">
      <c r="B63" s="130"/>
      <c r="C63" s="130"/>
      <c r="D63" s="98"/>
      <c r="N63" s="96"/>
    </row>
    <row r="64" spans="2:16" s="99" customFormat="1" x14ac:dyDescent="0.3">
      <c r="B64" s="132" t="s">
        <v>117</v>
      </c>
      <c r="C64" s="131"/>
      <c r="D64" s="145">
        <v>350</v>
      </c>
      <c r="E64" s="110"/>
      <c r="F64" s="110"/>
      <c r="G64" s="110"/>
      <c r="H64" s="110"/>
      <c r="I64" s="110"/>
      <c r="J64" s="110"/>
      <c r="K64" s="110"/>
      <c r="M64" s="110"/>
      <c r="N64" s="96"/>
      <c r="P64" s="110"/>
    </row>
    <row r="65" spans="2:16" s="99" customFormat="1" ht="15" thickBot="1" x14ac:dyDescent="0.35">
      <c r="B65" s="133" t="s">
        <v>118</v>
      </c>
      <c r="C65" s="133"/>
      <c r="D65" s="134">
        <f>D64*$D$17</f>
        <v>818300</v>
      </c>
      <c r="E65" s="110"/>
      <c r="F65" s="110"/>
      <c r="G65" s="110"/>
      <c r="H65" s="110"/>
      <c r="I65" s="110"/>
      <c r="J65" s="110"/>
      <c r="K65" s="110"/>
      <c r="M65" s="110"/>
      <c r="N65" s="96"/>
      <c r="P65" s="110"/>
    </row>
    <row r="66" spans="2:16" s="99" customFormat="1" x14ac:dyDescent="0.3">
      <c r="B66" s="131"/>
      <c r="C66" s="131"/>
      <c r="D66" s="125"/>
      <c r="E66" s="110"/>
      <c r="F66" s="110"/>
      <c r="G66" s="110"/>
      <c r="H66" s="110"/>
      <c r="I66" s="110"/>
      <c r="J66" s="110"/>
      <c r="K66" s="110"/>
      <c r="M66" s="110"/>
      <c r="N66" s="96"/>
      <c r="P66" s="110"/>
    </row>
    <row r="67" spans="2:16" s="99" customFormat="1" ht="15" customHeight="1" x14ac:dyDescent="0.3">
      <c r="B67" s="246"/>
      <c r="C67" s="247"/>
      <c r="D67" s="247"/>
      <c r="E67" s="247"/>
      <c r="F67" s="247"/>
      <c r="G67" s="247"/>
      <c r="H67" s="247"/>
      <c r="I67" s="247"/>
      <c r="J67" s="247"/>
      <c r="K67" s="247"/>
      <c r="M67"/>
      <c r="N67" s="96"/>
    </row>
    <row r="68" spans="2:16" s="99" customFormat="1" x14ac:dyDescent="0.3">
      <c r="B68" s="248"/>
      <c r="C68" s="249"/>
      <c r="D68" s="249"/>
      <c r="E68" s="249"/>
      <c r="F68" s="249"/>
      <c r="G68" s="249"/>
      <c r="H68" s="249"/>
      <c r="I68" s="249"/>
      <c r="J68" s="249"/>
      <c r="K68" s="249"/>
      <c r="M68"/>
      <c r="N68" s="96"/>
    </row>
    <row r="69" spans="2:16" s="99" customFormat="1" x14ac:dyDescent="0.3">
      <c r="B69" s="248"/>
      <c r="C69" s="249"/>
      <c r="D69" s="249"/>
      <c r="E69" s="249"/>
      <c r="F69" s="249"/>
      <c r="G69" s="249"/>
      <c r="H69" s="249"/>
      <c r="I69" s="249"/>
      <c r="J69" s="249"/>
      <c r="K69" s="249"/>
      <c r="M69"/>
      <c r="N69" s="96"/>
    </row>
    <row r="70" spans="2:16" s="99" customFormat="1" x14ac:dyDescent="0.3">
      <c r="B70" s="250"/>
      <c r="C70" s="251"/>
      <c r="D70" s="251"/>
      <c r="E70" s="251"/>
      <c r="F70" s="251"/>
      <c r="G70" s="251"/>
      <c r="H70" s="251"/>
      <c r="I70" s="251"/>
      <c r="J70" s="251"/>
      <c r="K70" s="251"/>
      <c r="M70"/>
      <c r="N70" s="96"/>
    </row>
    <row r="71" spans="2:16" s="99" customFormat="1" x14ac:dyDescent="0.3">
      <c r="B71" s="131"/>
      <c r="C71" s="131"/>
      <c r="D71" s="125"/>
      <c r="E71" s="110"/>
      <c r="F71" s="110"/>
      <c r="G71" s="110"/>
      <c r="H71" s="110"/>
      <c r="I71" s="110"/>
      <c r="J71" s="110"/>
      <c r="K71" s="110"/>
      <c r="M71" s="110"/>
      <c r="N71" s="96"/>
      <c r="P71" s="110"/>
    </row>
    <row r="72" spans="2:16" ht="15" thickBot="1" x14ac:dyDescent="0.35">
      <c r="B72" s="128" t="s">
        <v>119</v>
      </c>
      <c r="C72" s="128"/>
      <c r="D72" s="111"/>
    </row>
    <row r="73" spans="2:16" x14ac:dyDescent="0.3">
      <c r="B73" s="140" t="s">
        <v>120</v>
      </c>
      <c r="C73" s="140"/>
      <c r="D73" s="141">
        <v>2500</v>
      </c>
    </row>
    <row r="74" spans="2:16" x14ac:dyDescent="0.3">
      <c r="B74" s="119" t="s">
        <v>121</v>
      </c>
      <c r="C74" s="119"/>
      <c r="D74" s="98">
        <v>7500</v>
      </c>
    </row>
    <row r="75" spans="2:16" x14ac:dyDescent="0.3">
      <c r="B75" s="119" t="s">
        <v>122</v>
      </c>
      <c r="C75" s="119"/>
      <c r="D75" s="98">
        <v>10000</v>
      </c>
    </row>
    <row r="76" spans="2:16" x14ac:dyDescent="0.3">
      <c r="B76" s="119" t="s">
        <v>96</v>
      </c>
      <c r="C76" s="119"/>
      <c r="D76" s="98">
        <v>15000</v>
      </c>
    </row>
    <row r="77" spans="2:16" x14ac:dyDescent="0.3">
      <c r="B77" s="119" t="s">
        <v>123</v>
      </c>
      <c r="C77" s="119"/>
      <c r="D77" s="98">
        <v>40</v>
      </c>
      <c r="E77"/>
      <c r="F77"/>
      <c r="G77"/>
      <c r="H77"/>
      <c r="I77"/>
      <c r="J77"/>
      <c r="K77"/>
      <c r="M77"/>
      <c r="P77"/>
    </row>
    <row r="78" spans="2:16" x14ac:dyDescent="0.3">
      <c r="B78" s="119" t="s">
        <v>124</v>
      </c>
      <c r="C78" s="119"/>
      <c r="D78" s="142">
        <v>0.4</v>
      </c>
      <c r="E78"/>
      <c r="F78"/>
      <c r="G78"/>
      <c r="H78"/>
      <c r="I78"/>
      <c r="J78"/>
      <c r="K78"/>
      <c r="M78"/>
      <c r="P78"/>
    </row>
    <row r="79" spans="2:16" x14ac:dyDescent="0.3">
      <c r="B79" s="119" t="s">
        <v>125</v>
      </c>
      <c r="C79" s="119"/>
      <c r="D79" s="98">
        <v>8000</v>
      </c>
    </row>
    <row r="80" spans="2:16" ht="15" thickBot="1" x14ac:dyDescent="0.35">
      <c r="B80" s="143" t="s">
        <v>126</v>
      </c>
      <c r="C80" s="143"/>
      <c r="D80" s="144">
        <v>5000</v>
      </c>
    </row>
  </sheetData>
  <dataValidations count="2">
    <dataValidation type="list" allowBlank="1" showInputMessage="1" showErrorMessage="1" sqref="M11" xr:uid="{22964199-A520-45C3-8445-503A6A00A843}">
      <formula1>"List Price, Sale Price"</formula1>
    </dataValidation>
    <dataValidation type="list" allowBlank="1" showInputMessage="1" showErrorMessage="1" sqref="M27" xr:uid="{78500A75-482C-4975-8DAD-8F267A034507}">
      <formula1>"Deck, Balcony, Both"</formula1>
    </dataValidation>
  </dataValidations>
  <hyperlinks>
    <hyperlink ref="N24" r:id="rId1" display="https://www.honestdoor.com/listing/68-heritage-ridge-cochrane-ab-a2273193" xr:uid="{41014980-81E7-4AF3-A9BB-547CC874183A}"/>
    <hyperlink ref="N25" r:id="rId2" display="https://www.honestdoor.com/listing/76-heritage-ridge-cochrane-ab-a2264834" xr:uid="{92F39791-F5BA-4672-92C1-9A7F5939F18A}"/>
    <hyperlink ref="F7" r:id="rId3" xr:uid="{0D4F522B-139B-41CA-B413-967F26B22583}"/>
    <hyperlink ref="G7" r:id="rId4" xr:uid="{D50BD347-F296-4ABB-92F2-562498935029}"/>
    <hyperlink ref="J7" r:id="rId5" xr:uid="{80152E78-A5FC-4EAF-BDF7-1DF2BD92FCD3}"/>
    <hyperlink ref="N23" r:id="rId6" display="https://www.honestdoor.com/listing/543-rivercrest-view-cochrane-ab-a2183651" xr:uid="{482517F7-4A46-4914-901A-44DA8CD4C4F0}"/>
    <hyperlink ref="K7" r:id="rId7" xr:uid="{4773345F-E4EA-488B-B26B-1E98AA69B14B}"/>
    <hyperlink ref="I7" r:id="rId8" xr:uid="{0A204A68-3E6F-4B24-B888-06116A699381}"/>
    <hyperlink ref="P7" r:id="rId9" xr:uid="{87873932-7194-4C07-9545-5A4E5F2F9802}"/>
    <hyperlink ref="E7" r:id="rId10" xr:uid="{9F7B6086-27E9-467F-8D5B-0755ADA4B3B3}"/>
  </hyperlinks>
  <pageMargins left="0.7" right="0.7" top="0.75" bottom="0.75" header="0.3" footer="0.3"/>
  <pageSetup orientation="portrait" r:id="rId11"/>
  <drawing r:id="rId12"/>
  <extLst>
    <ext xmlns:x14="http://schemas.microsoft.com/office/spreadsheetml/2009/9/main" uri="{CCE6A557-97BC-4b89-ADB6-D9C93CAAB3DF}">
      <x14:dataValidations xmlns:xm="http://schemas.microsoft.com/office/excel/2006/main" count="4">
        <x14:dataValidation type="list" allowBlank="1" showInputMessage="1" xr:uid="{3008C24C-D937-4054-A1B6-20AA2FA615C4}">
          <x14:formula1>
            <xm:f>#REF!</xm:f>
          </x14:formula1>
          <xm:sqref>P11 D11:K11</xm:sqref>
        </x14:dataValidation>
        <x14:dataValidation type="list" allowBlank="1" showInputMessage="1" showErrorMessage="1" xr:uid="{7D3EEF20-48D9-4A5F-92DF-22410CA26354}">
          <x14:formula1>
            <xm:f>#REF!</xm:f>
          </x14:formula1>
          <xm:sqref>P24 D24:K24</xm:sqref>
        </x14:dataValidation>
        <x14:dataValidation type="list" allowBlank="1" showInputMessage="1" xr:uid="{FC90930C-4CBF-450A-83FA-7A38FA3583A2}">
          <x14:formula1>
            <xm:f>#REF!</xm:f>
          </x14:formula1>
          <xm:sqref>P26 D26:K26</xm:sqref>
        </x14:dataValidation>
        <x14:dataValidation type="list" allowBlank="1" showInputMessage="1" xr:uid="{425FF157-40E3-4EB8-B386-E985418573A2}">
          <x14:formula1>
            <xm:f>#REF!</xm:f>
          </x14:formula1>
          <xm:sqref>P27 D27:K27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6FCF-722C-4DF0-AF1B-80EB18B35E5D}">
  <sheetPr filterMode="1"/>
  <dimension ref="B2:BC58"/>
  <sheetViews>
    <sheetView topLeftCell="G1" workbookViewId="0">
      <selection activeCell="U2" sqref="A2:XFD2"/>
    </sheetView>
  </sheetViews>
  <sheetFormatPr defaultRowHeight="14.4" x14ac:dyDescent="0.3"/>
  <cols>
    <col min="2" max="2" width="32.5546875" bestFit="1" customWidth="1"/>
    <col min="3" max="3" width="20.6640625" bestFit="1" customWidth="1"/>
    <col min="4" max="4" width="9" bestFit="1" customWidth="1"/>
    <col min="5" max="5" width="4.44140625" bestFit="1" customWidth="1"/>
    <col min="6" max="6" width="12" bestFit="1" customWidth="1"/>
    <col min="7" max="7" width="8.33203125" bestFit="1" customWidth="1"/>
    <col min="8" max="8" width="10.6640625" bestFit="1" customWidth="1"/>
    <col min="9" max="9" width="11.6640625" bestFit="1" customWidth="1"/>
    <col min="10" max="12" width="6.6640625" bestFit="1" customWidth="1"/>
    <col min="13" max="14" width="10.6640625" bestFit="1" customWidth="1"/>
    <col min="15" max="15" width="9.5546875" bestFit="1" customWidth="1"/>
    <col min="16" max="16" width="11.33203125" bestFit="1" customWidth="1"/>
    <col min="17" max="17" width="12.33203125" bestFit="1" customWidth="1"/>
    <col min="18" max="18" width="11.6640625" bestFit="1" customWidth="1"/>
    <col min="19" max="19" width="6.5546875" bestFit="1" customWidth="1"/>
    <col min="20" max="20" width="7.44140625" bestFit="1" customWidth="1"/>
    <col min="21" max="21" width="12.33203125" bestFit="1" customWidth="1"/>
    <col min="22" max="22" width="6.5546875" bestFit="1" customWidth="1"/>
    <col min="23" max="25" width="12.33203125" bestFit="1" customWidth="1"/>
    <col min="26" max="27" width="8.5546875" bestFit="1" customWidth="1"/>
    <col min="28" max="28" width="12.33203125" bestFit="1" customWidth="1"/>
    <col min="29" max="29" width="9.5546875" bestFit="1" customWidth="1"/>
    <col min="30" max="31" width="12.33203125" bestFit="1" customWidth="1"/>
    <col min="32" max="32" width="9.5546875" bestFit="1" customWidth="1"/>
    <col min="33" max="33" width="12.33203125" bestFit="1" customWidth="1"/>
    <col min="34" max="34" width="11.33203125" bestFit="1" customWidth="1"/>
    <col min="35" max="35" width="8.33203125" bestFit="1" customWidth="1"/>
    <col min="36" max="39" width="12.33203125" bestFit="1" customWidth="1"/>
    <col min="40" max="40" width="7.5546875" bestFit="1" customWidth="1"/>
    <col min="41" max="41" width="12.33203125" bestFit="1" customWidth="1"/>
    <col min="42" max="44" width="9.6640625" bestFit="1" customWidth="1"/>
    <col min="45" max="45" width="5.44140625" bestFit="1" customWidth="1"/>
    <col min="46" max="46" width="12.33203125" bestFit="1" customWidth="1"/>
    <col min="47" max="47" width="11.33203125" bestFit="1" customWidth="1"/>
    <col min="48" max="48" width="12.33203125" bestFit="1" customWidth="1"/>
    <col min="49" max="50" width="11.33203125" bestFit="1" customWidth="1"/>
    <col min="51" max="51" width="8.44140625" bestFit="1" customWidth="1"/>
    <col min="52" max="52" width="47.6640625" bestFit="1" customWidth="1"/>
    <col min="53" max="53" width="8.5546875" bestFit="1" customWidth="1"/>
    <col min="54" max="54" width="10.33203125" bestFit="1" customWidth="1"/>
    <col min="55" max="55" width="135.6640625" bestFit="1" customWidth="1"/>
  </cols>
  <sheetData>
    <row r="2" spans="2:55" ht="110.4" x14ac:dyDescent="0.3">
      <c r="B2" s="7" t="s">
        <v>127</v>
      </c>
      <c r="C2" s="8" t="s">
        <v>128</v>
      </c>
      <c r="D2" s="8" t="s">
        <v>129</v>
      </c>
      <c r="E2" s="8" t="s">
        <v>7</v>
      </c>
      <c r="F2" s="9" t="s">
        <v>130</v>
      </c>
      <c r="G2" s="9" t="s">
        <v>131</v>
      </c>
      <c r="H2" s="9" t="s">
        <v>132</v>
      </c>
      <c r="I2" s="9" t="s">
        <v>133</v>
      </c>
      <c r="J2" s="9" t="s">
        <v>134</v>
      </c>
      <c r="K2" s="9" t="s">
        <v>135</v>
      </c>
      <c r="L2" s="9" t="s">
        <v>136</v>
      </c>
      <c r="M2" s="9" t="s">
        <v>20</v>
      </c>
      <c r="N2" s="9" t="s">
        <v>137</v>
      </c>
      <c r="O2" s="9" t="s">
        <v>138</v>
      </c>
      <c r="P2" s="9" t="s">
        <v>25</v>
      </c>
      <c r="Q2" s="9" t="s">
        <v>139</v>
      </c>
      <c r="R2" s="9" t="s">
        <v>140</v>
      </c>
      <c r="S2" s="9" t="s">
        <v>141</v>
      </c>
      <c r="T2" s="9" t="s">
        <v>142</v>
      </c>
      <c r="U2" s="9" t="s">
        <v>143</v>
      </c>
      <c r="V2" s="9" t="s">
        <v>144</v>
      </c>
      <c r="W2" s="9" t="s">
        <v>145</v>
      </c>
      <c r="X2" s="9" t="s">
        <v>146</v>
      </c>
      <c r="Y2" s="9" t="s">
        <v>147</v>
      </c>
      <c r="Z2" s="9" t="s">
        <v>148</v>
      </c>
      <c r="AA2" s="9" t="s">
        <v>149</v>
      </c>
      <c r="AB2" s="9" t="s">
        <v>150</v>
      </c>
      <c r="AC2" s="9" t="s">
        <v>151</v>
      </c>
      <c r="AD2" s="9" t="s">
        <v>152</v>
      </c>
      <c r="AE2" s="9" t="s">
        <v>153</v>
      </c>
      <c r="AF2" s="9" t="s">
        <v>154</v>
      </c>
      <c r="AG2" s="9" t="s">
        <v>155</v>
      </c>
      <c r="AH2" s="9" t="s">
        <v>156</v>
      </c>
      <c r="AI2" s="9" t="s">
        <v>157</v>
      </c>
      <c r="AJ2" s="9" t="s">
        <v>158</v>
      </c>
      <c r="AK2" s="9" t="s">
        <v>159</v>
      </c>
      <c r="AL2" s="9" t="s">
        <v>160</v>
      </c>
      <c r="AM2" s="9" t="s">
        <v>161</v>
      </c>
      <c r="AN2" s="9" t="s">
        <v>162</v>
      </c>
      <c r="AO2" s="9" t="s">
        <v>163</v>
      </c>
      <c r="AP2" s="9" t="s">
        <v>164</v>
      </c>
      <c r="AQ2" s="9" t="s">
        <v>165</v>
      </c>
      <c r="AR2" s="9" t="s">
        <v>166</v>
      </c>
      <c r="AS2" s="38" t="s">
        <v>58</v>
      </c>
      <c r="AT2" s="10" t="s">
        <v>77</v>
      </c>
      <c r="AU2" s="9" t="s">
        <v>167</v>
      </c>
      <c r="AV2" s="9" t="s">
        <v>168</v>
      </c>
      <c r="AW2" s="9" t="s">
        <v>169</v>
      </c>
      <c r="AX2" s="9" t="s">
        <v>170</v>
      </c>
      <c r="AY2" s="9" t="s">
        <v>171</v>
      </c>
      <c r="AZ2" s="9" t="s">
        <v>172</v>
      </c>
      <c r="BA2" s="9" t="s">
        <v>173</v>
      </c>
      <c r="BB2" s="40" t="s">
        <v>48</v>
      </c>
      <c r="BC2" s="39" t="s">
        <v>58</v>
      </c>
    </row>
    <row r="3" spans="2:55" hidden="1" x14ac:dyDescent="0.3">
      <c r="B3" s="11" t="s">
        <v>174</v>
      </c>
      <c r="C3" s="20" t="s">
        <v>175</v>
      </c>
      <c r="D3" s="13">
        <v>42</v>
      </c>
      <c r="E3" s="13">
        <v>57</v>
      </c>
      <c r="F3" s="11" t="s">
        <v>176</v>
      </c>
      <c r="G3" s="11" t="s">
        <v>177</v>
      </c>
      <c r="H3" s="11" t="s">
        <v>178</v>
      </c>
      <c r="I3" s="11" t="str">
        <f>IF(AI3=0,"Land",IF(AND(AI3&gt;0,AI3&lt;1),"Construction",IF(AI3=1,"Completed")))</f>
        <v>Construction</v>
      </c>
      <c r="J3" s="4">
        <v>0.55000000000000004</v>
      </c>
      <c r="K3" s="4">
        <v>0.75</v>
      </c>
      <c r="L3" s="4">
        <v>0.65</v>
      </c>
      <c r="M3" s="14">
        <v>200000</v>
      </c>
      <c r="N3" s="15">
        <v>210000</v>
      </c>
      <c r="O3" s="15">
        <f>MIN(M3:N3)</f>
        <v>200000</v>
      </c>
      <c r="P3" s="15">
        <v>740000</v>
      </c>
      <c r="Q3" s="3">
        <f>IF(AV3&gt;0,MIN(P3,AV3),P3)</f>
        <v>739000</v>
      </c>
      <c r="R3" s="5">
        <f>Q3/T3</f>
        <v>228.50958565244281</v>
      </c>
      <c r="S3" s="16">
        <v>8309.7307999999994</v>
      </c>
      <c r="T3" s="16">
        <v>3234</v>
      </c>
      <c r="U3" s="1">
        <v>426200</v>
      </c>
      <c r="V3" s="6">
        <f>U3/T3</f>
        <v>131.78726035868894</v>
      </c>
      <c r="W3" s="23">
        <f>J3*MIN(M3:N3)</f>
        <v>110000.00000000001</v>
      </c>
      <c r="X3" s="23">
        <f>MAX(IF(Q3="",0,MIN(((U3+M3)*K3)-W3,(Q3*L3)-W3)),0)</f>
        <v>359650</v>
      </c>
      <c r="Y3" s="23">
        <f>W3+X3</f>
        <v>469650</v>
      </c>
      <c r="Z3" s="24">
        <f>IF(Q3&gt;0,Y3/Q3,Y3/N3)</f>
        <v>0.63552097428958054</v>
      </c>
      <c r="AA3" s="24">
        <f>IF(Q3&gt;0,Y3/(M3+U3),Y3/M3)</f>
        <v>0.75</v>
      </c>
      <c r="AB3" s="5">
        <f>ROUND(IF(Q3&gt;0,IF(G3="%",W3+X3*AI3,W3+MAX((O3+(U3*AI3))-(O3+U3-X3),0)),W3),2)</f>
        <v>459847.4</v>
      </c>
      <c r="AC3" s="17">
        <v>44008</v>
      </c>
      <c r="AD3" s="25">
        <v>110000.00000000001</v>
      </c>
      <c r="AE3" s="25">
        <f>243297.4+32817.4+53275</f>
        <v>329389.8</v>
      </c>
      <c r="AF3" s="26">
        <f>SUM(AD3:AE3)</f>
        <v>439389.8</v>
      </c>
      <c r="AG3" s="26">
        <f t="shared" ref="AG3:AG10" si="0">AF3-AO3</f>
        <v>0</v>
      </c>
      <c r="AH3" s="23">
        <f t="shared" ref="AH3:AH10" si="1">AB3-AF3</f>
        <v>20457.600000000035</v>
      </c>
      <c r="AI3" s="27">
        <v>0.97699999999999998</v>
      </c>
      <c r="AJ3" s="23">
        <f>IF(AM3&gt;0,0,N3+(Q3-N3)*AI3)</f>
        <v>0</v>
      </c>
      <c r="AK3" s="23">
        <f t="shared" ref="AK3:AK10" si="2">(1-AI3)*U3</f>
        <v>9802.6000000000095</v>
      </c>
      <c r="AL3" s="23">
        <f t="shared" ref="AL3:AL10" si="3">Y3-AF3</f>
        <v>30260.200000000012</v>
      </c>
      <c r="AM3" s="2">
        <v>439389.8</v>
      </c>
      <c r="AN3" s="2"/>
      <c r="AO3" s="28">
        <f>AM3-AN3</f>
        <v>439389.8</v>
      </c>
      <c r="AP3" s="18">
        <v>44069</v>
      </c>
      <c r="AQ3" s="18">
        <v>44074</v>
      </c>
      <c r="AR3" s="18">
        <v>44097</v>
      </c>
      <c r="AS3" s="11"/>
      <c r="AT3" s="2">
        <f t="shared" ref="AT3:AT10" si="4">AV3/1.05</f>
        <v>703809.52380952379</v>
      </c>
      <c r="AU3" s="2">
        <f>AT3*0.05</f>
        <v>35190.476190476191</v>
      </c>
      <c r="AV3" s="14">
        <v>739000</v>
      </c>
      <c r="AW3" s="14"/>
      <c r="AX3" s="14">
        <v>70000</v>
      </c>
      <c r="AY3" s="29">
        <f t="shared" ref="AY3:AY10" si="5">AX3/AV3</f>
        <v>9.4722598105548034E-2</v>
      </c>
      <c r="AZ3" s="11" t="s">
        <v>179</v>
      </c>
      <c r="BA3" s="30">
        <f>IFERROR(AV3/Q3,0)</f>
        <v>1</v>
      </c>
      <c r="BB3" s="19">
        <v>43800</v>
      </c>
      <c r="BC3" s="11"/>
    </row>
    <row r="4" spans="2:55" hidden="1" x14ac:dyDescent="0.3">
      <c r="B4" s="11" t="s">
        <v>180</v>
      </c>
      <c r="C4" s="20" t="s">
        <v>181</v>
      </c>
      <c r="D4" s="13">
        <v>1</v>
      </c>
      <c r="E4" s="13">
        <v>2</v>
      </c>
      <c r="F4" s="11" t="s">
        <v>176</v>
      </c>
      <c r="G4" s="11" t="s">
        <v>177</v>
      </c>
      <c r="H4" s="11" t="s">
        <v>178</v>
      </c>
      <c r="I4" s="11" t="str">
        <f t="shared" ref="I4:I6" si="6">IF(AI4=0,"Land",IF(AND(AI4&gt;0,AI4&lt;1),"Construction",IF(AI4=1,"Completed")))</f>
        <v>Construction</v>
      </c>
      <c r="J4" s="4">
        <v>0.55000000000000004</v>
      </c>
      <c r="K4" s="4">
        <v>0.75</v>
      </c>
      <c r="L4" s="4">
        <v>0.65</v>
      </c>
      <c r="M4" s="14">
        <v>204389</v>
      </c>
      <c r="N4" s="15">
        <v>180000</v>
      </c>
      <c r="O4" s="15">
        <f t="shared" ref="O4:O6" si="7">MIN(M4:N4)</f>
        <v>180000</v>
      </c>
      <c r="P4" s="15">
        <v>705000</v>
      </c>
      <c r="Q4" s="3">
        <f>IF(AV4&gt;0,MIN(P4,AV4),P4)</f>
        <v>698500</v>
      </c>
      <c r="R4" s="5">
        <f t="shared" ref="R4:R6" si="8">Q4/T4</f>
        <v>230.83278255122275</v>
      </c>
      <c r="S4" s="16">
        <f>489*10.7639</f>
        <v>5263.5470999999998</v>
      </c>
      <c r="T4" s="16">
        <v>3026</v>
      </c>
      <c r="U4" s="1">
        <v>400200</v>
      </c>
      <c r="V4" s="6">
        <f t="shared" ref="V4:V6" si="9">U4/T4</f>
        <v>132.25380039656312</v>
      </c>
      <c r="W4" s="23">
        <f t="shared" ref="W4:W6" si="10">J4*MIN(M4:N4)</f>
        <v>99000.000000000015</v>
      </c>
      <c r="X4" s="23">
        <f t="shared" ref="X4:X6" si="11">MAX(IF(Q4="",0,MIN(((U4+M4)*K4)-W4,(Q4*L4)-W4)),0)</f>
        <v>354441.75</v>
      </c>
      <c r="Y4" s="23">
        <f t="shared" ref="Y4:Y6" si="12">W4+X4</f>
        <v>453441.75</v>
      </c>
      <c r="Z4" s="24">
        <f t="shared" ref="Z4:Z6" si="13">IF(Q4&gt;0,Y4/Q4,Y4/N4)</f>
        <v>0.64916499642090197</v>
      </c>
      <c r="AA4" s="24">
        <f t="shared" ref="AA4:AA6" si="14">IF(Q4&gt;0,Y4/(M4+U4),Y4/M4)</f>
        <v>0.75</v>
      </c>
      <c r="AB4" s="5">
        <f t="shared" ref="AB4:AB10" si="15">ROUND(IF(Q4&gt;0,IF(G4="%",W4+X4*AI4,W4+MAX((O4+U4*AI4)-(O4+U4-X4),0)),W4),2)</f>
        <v>346988.55</v>
      </c>
      <c r="AC4" s="17">
        <v>44008</v>
      </c>
      <c r="AD4" s="25">
        <v>99000.000000000015</v>
      </c>
      <c r="AE4" s="25">
        <f>155142.15+17608.8+54827.4+9604.8+10805.4</f>
        <v>247988.54999999996</v>
      </c>
      <c r="AF4" s="26">
        <f t="shared" ref="AF4" si="16">SUM(AD4:AE4)</f>
        <v>346988.55</v>
      </c>
      <c r="AG4" s="26">
        <f t="shared" si="0"/>
        <v>0</v>
      </c>
      <c r="AH4" s="23">
        <f t="shared" si="1"/>
        <v>0</v>
      </c>
      <c r="AI4" s="27">
        <v>0.73399999999999999</v>
      </c>
      <c r="AJ4" s="23">
        <f t="shared" ref="AJ4:AJ10" si="17">IF(AM4&gt;0,0,O4+(Q4-O4)*AI4)</f>
        <v>0</v>
      </c>
      <c r="AK4" s="23">
        <f t="shared" si="2"/>
        <v>106453.20000000001</v>
      </c>
      <c r="AL4" s="23">
        <f t="shared" si="3"/>
        <v>106453.20000000001</v>
      </c>
      <c r="AM4" s="2">
        <v>346988.55</v>
      </c>
      <c r="AN4" s="2"/>
      <c r="AO4" s="28">
        <f t="shared" ref="AO4:AO6" si="18">AM4-AN4</f>
        <v>346988.55</v>
      </c>
      <c r="AP4" s="18">
        <v>44102</v>
      </c>
      <c r="AQ4" s="18">
        <v>44109</v>
      </c>
      <c r="AR4" s="18">
        <v>44134</v>
      </c>
      <c r="AS4" s="11"/>
      <c r="AT4" s="2">
        <f t="shared" si="4"/>
        <v>665238.09523809527</v>
      </c>
      <c r="AU4" s="2">
        <f>AT4*0.05</f>
        <v>33261.904761904763</v>
      </c>
      <c r="AV4" s="14">
        <v>698500</v>
      </c>
      <c r="AW4" s="14"/>
      <c r="AX4" s="14">
        <v>70000</v>
      </c>
      <c r="AY4" s="29">
        <f t="shared" si="5"/>
        <v>0.10021474588403723</v>
      </c>
      <c r="AZ4" s="11" t="s">
        <v>182</v>
      </c>
      <c r="BA4" s="30">
        <f>IFERROR(AV4/Q4,0)</f>
        <v>1</v>
      </c>
      <c r="BB4" s="19">
        <v>43807</v>
      </c>
      <c r="BC4" s="11"/>
    </row>
    <row r="5" spans="2:55" hidden="1" x14ac:dyDescent="0.3">
      <c r="B5" s="11" t="s">
        <v>183</v>
      </c>
      <c r="C5" s="20" t="s">
        <v>181</v>
      </c>
      <c r="D5" s="13">
        <v>1</v>
      </c>
      <c r="E5" s="13">
        <v>3</v>
      </c>
      <c r="F5" s="11" t="s">
        <v>176</v>
      </c>
      <c r="G5" s="11" t="s">
        <v>177</v>
      </c>
      <c r="H5" s="11" t="s">
        <v>178</v>
      </c>
      <c r="I5" s="11" t="str">
        <f t="shared" si="6"/>
        <v>Construction</v>
      </c>
      <c r="J5" s="4">
        <v>0.55000000000000004</v>
      </c>
      <c r="K5" s="4">
        <v>0.75</v>
      </c>
      <c r="L5" s="4">
        <v>0.65</v>
      </c>
      <c r="M5" s="14">
        <v>204389</v>
      </c>
      <c r="N5" s="15">
        <v>175000</v>
      </c>
      <c r="O5" s="15">
        <f t="shared" si="7"/>
        <v>175000</v>
      </c>
      <c r="P5" s="15">
        <v>655000</v>
      </c>
      <c r="Q5" s="3">
        <f>IF(AV5&gt;0,MIN(P5,AV5),P5)</f>
        <v>648375</v>
      </c>
      <c r="R5" s="5">
        <f t="shared" si="8"/>
        <v>251.99183832102605</v>
      </c>
      <c r="S5" s="16">
        <v>5285</v>
      </c>
      <c r="T5" s="16">
        <v>2573</v>
      </c>
      <c r="U5" s="1">
        <v>331300</v>
      </c>
      <c r="V5" s="6">
        <f t="shared" si="9"/>
        <v>128.76020209871746</v>
      </c>
      <c r="W5" s="23">
        <f t="shared" si="10"/>
        <v>96250.000000000015</v>
      </c>
      <c r="X5" s="23">
        <f t="shared" si="11"/>
        <v>305516.75</v>
      </c>
      <c r="Y5" s="23">
        <f t="shared" si="12"/>
        <v>401766.75</v>
      </c>
      <c r="Z5" s="24">
        <f t="shared" si="13"/>
        <v>0.61965182186234813</v>
      </c>
      <c r="AA5" s="24">
        <f t="shared" si="14"/>
        <v>0.75</v>
      </c>
      <c r="AB5" s="5">
        <f t="shared" si="15"/>
        <v>315297.45</v>
      </c>
      <c r="AC5" s="17">
        <v>44068</v>
      </c>
      <c r="AD5" s="25">
        <v>96250.000000000015</v>
      </c>
      <c r="AE5" s="25">
        <f>130921.65+41412.5+46713.3</f>
        <v>219047.45</v>
      </c>
      <c r="AF5" s="26">
        <f>SUM(AD5:AE5)</f>
        <v>315297.45</v>
      </c>
      <c r="AG5" s="26">
        <f t="shared" si="0"/>
        <v>0</v>
      </c>
      <c r="AH5" s="23">
        <f t="shared" si="1"/>
        <v>0</v>
      </c>
      <c r="AI5" s="27">
        <v>0.73899999999999999</v>
      </c>
      <c r="AJ5" s="23">
        <f t="shared" si="17"/>
        <v>0</v>
      </c>
      <c r="AK5" s="23">
        <f t="shared" si="2"/>
        <v>86469.3</v>
      </c>
      <c r="AL5" s="23">
        <f t="shared" si="3"/>
        <v>86469.299999999988</v>
      </c>
      <c r="AM5" s="2">
        <f>315294.45+3</f>
        <v>315297.45</v>
      </c>
      <c r="AN5" s="2"/>
      <c r="AO5" s="28">
        <f t="shared" si="18"/>
        <v>315297.45</v>
      </c>
      <c r="AP5" s="18">
        <v>44111</v>
      </c>
      <c r="AQ5" s="18">
        <v>44123</v>
      </c>
      <c r="AR5" s="18">
        <v>44151</v>
      </c>
      <c r="AS5" s="11"/>
      <c r="AT5" s="2">
        <f t="shared" si="4"/>
        <v>617500</v>
      </c>
      <c r="AU5" s="2">
        <f>AV5-AT5</f>
        <v>30875</v>
      </c>
      <c r="AV5" s="14">
        <v>648375</v>
      </c>
      <c r="AW5" s="14"/>
      <c r="AX5" s="14">
        <v>65000</v>
      </c>
      <c r="AY5" s="29">
        <f t="shared" si="5"/>
        <v>0.10025062656641603</v>
      </c>
      <c r="AZ5" s="11" t="s">
        <v>184</v>
      </c>
      <c r="BA5" s="30">
        <f>AV5/P5</f>
        <v>0.98988549618320609</v>
      </c>
      <c r="BB5" s="19">
        <v>43845</v>
      </c>
      <c r="BC5" s="11"/>
    </row>
    <row r="6" spans="2:55" hidden="1" x14ac:dyDescent="0.3">
      <c r="B6" s="11" t="s">
        <v>185</v>
      </c>
      <c r="C6" s="20" t="s">
        <v>175</v>
      </c>
      <c r="D6" s="13">
        <v>42</v>
      </c>
      <c r="E6" s="13">
        <v>73</v>
      </c>
      <c r="F6" s="11" t="s">
        <v>176</v>
      </c>
      <c r="G6" s="11" t="s">
        <v>177</v>
      </c>
      <c r="H6" s="11" t="s">
        <v>178</v>
      </c>
      <c r="I6" s="11" t="str">
        <f t="shared" si="6"/>
        <v>Construction</v>
      </c>
      <c r="J6" s="4">
        <v>0.55000000000000004</v>
      </c>
      <c r="K6" s="4">
        <v>0.75</v>
      </c>
      <c r="L6" s="4">
        <v>0.65</v>
      </c>
      <c r="M6" s="14">
        <v>205000</v>
      </c>
      <c r="N6" s="15">
        <v>190000</v>
      </c>
      <c r="O6" s="15">
        <f t="shared" si="7"/>
        <v>190000</v>
      </c>
      <c r="P6" s="15">
        <v>730000</v>
      </c>
      <c r="Q6" s="3">
        <f>IF(AV6&gt;0,MIN(P6,AV6),P6)</f>
        <v>730000</v>
      </c>
      <c r="R6" s="5">
        <f t="shared" si="8"/>
        <v>226.91949020826857</v>
      </c>
      <c r="S6" s="16">
        <v>5812.5059999999994</v>
      </c>
      <c r="T6" s="16">
        <v>3217</v>
      </c>
      <c r="U6" s="1">
        <v>395600</v>
      </c>
      <c r="V6" s="6">
        <f t="shared" si="9"/>
        <v>122.97171277587815</v>
      </c>
      <c r="W6" s="23">
        <f t="shared" si="10"/>
        <v>104500.00000000001</v>
      </c>
      <c r="X6" s="23">
        <f t="shared" si="11"/>
        <v>345950</v>
      </c>
      <c r="Y6" s="23">
        <f t="shared" si="12"/>
        <v>450450</v>
      </c>
      <c r="Z6" s="24">
        <f t="shared" si="13"/>
        <v>0.6170547945205479</v>
      </c>
      <c r="AA6" s="24">
        <f t="shared" si="14"/>
        <v>0.75</v>
      </c>
      <c r="AB6" s="5">
        <f t="shared" si="15"/>
        <v>362626.8</v>
      </c>
      <c r="AC6" s="17">
        <v>44008</v>
      </c>
      <c r="AD6" s="25">
        <v>104500.00000000001</v>
      </c>
      <c r="AE6" s="25">
        <f>22349.2+54197.2+49845.6+46285.2+53801.6+31648</f>
        <v>258126.80000000002</v>
      </c>
      <c r="AF6" s="26">
        <f>SUM(AD6:AE6)</f>
        <v>362626.80000000005</v>
      </c>
      <c r="AG6" s="26">
        <f t="shared" si="0"/>
        <v>0</v>
      </c>
      <c r="AH6" s="23">
        <f t="shared" si="1"/>
        <v>0</v>
      </c>
      <c r="AI6" s="27">
        <v>0.77800000000000002</v>
      </c>
      <c r="AJ6" s="23">
        <f t="shared" si="17"/>
        <v>0</v>
      </c>
      <c r="AK6" s="23">
        <f t="shared" si="2"/>
        <v>87823.2</v>
      </c>
      <c r="AL6" s="23">
        <f t="shared" si="3"/>
        <v>87823.199999999953</v>
      </c>
      <c r="AM6" s="2">
        <v>362626.8</v>
      </c>
      <c r="AN6" s="2">
        <v>0</v>
      </c>
      <c r="AO6" s="28">
        <f t="shared" si="18"/>
        <v>362626.8</v>
      </c>
      <c r="AP6" s="18"/>
      <c r="AQ6" s="18">
        <v>44130</v>
      </c>
      <c r="AR6" s="18">
        <v>44162</v>
      </c>
      <c r="AS6" s="11"/>
      <c r="AT6" s="2">
        <f t="shared" si="4"/>
        <v>695238.09523809527</v>
      </c>
      <c r="AU6" s="2">
        <f>AT6*0.05</f>
        <v>34761.904761904763</v>
      </c>
      <c r="AV6" s="14">
        <v>730000</v>
      </c>
      <c r="AW6" s="14"/>
      <c r="AX6" s="14">
        <v>50000</v>
      </c>
      <c r="AY6" s="29">
        <f t="shared" si="5"/>
        <v>6.8493150684931503E-2</v>
      </c>
      <c r="AZ6" s="11" t="s">
        <v>186</v>
      </c>
      <c r="BA6" s="30">
        <f>IFERROR(AV6/Q6,0)</f>
        <v>1</v>
      </c>
      <c r="BB6" s="19">
        <v>43797</v>
      </c>
      <c r="BC6" s="11"/>
    </row>
    <row r="7" spans="2:55" hidden="1" x14ac:dyDescent="0.3">
      <c r="B7" s="11" t="s">
        <v>187</v>
      </c>
      <c r="C7" s="20" t="s">
        <v>181</v>
      </c>
      <c r="D7" s="13">
        <v>1</v>
      </c>
      <c r="E7" s="13">
        <v>4</v>
      </c>
      <c r="F7" s="11" t="s">
        <v>176</v>
      </c>
      <c r="G7" s="11" t="s">
        <v>177</v>
      </c>
      <c r="H7" s="11" t="s">
        <v>178</v>
      </c>
      <c r="I7" s="11" t="str">
        <f>IF(AI7=0,"Land",IF(AND(AI7&gt;0,AI7&lt;1),"Construction",IF(AI7=1,"Completed")))</f>
        <v>Construction</v>
      </c>
      <c r="J7" s="4">
        <v>0.55000000000000004</v>
      </c>
      <c r="K7" s="4">
        <v>0.75</v>
      </c>
      <c r="L7" s="4">
        <v>0.65</v>
      </c>
      <c r="M7" s="14">
        <v>204389</v>
      </c>
      <c r="N7" s="15">
        <v>180000</v>
      </c>
      <c r="O7" s="15">
        <f>MIN(M7:N7)</f>
        <v>180000</v>
      </c>
      <c r="P7" s="15">
        <v>625000</v>
      </c>
      <c r="Q7" s="3">
        <f>IF(AV68&gt;0,MIN(P7,AV68),P7)</f>
        <v>625000</v>
      </c>
      <c r="R7" s="5">
        <f>Q7/T7</f>
        <v>255.41479362484674</v>
      </c>
      <c r="S7" s="16">
        <v>5264</v>
      </c>
      <c r="T7" s="16">
        <v>2447</v>
      </c>
      <c r="U7" s="1">
        <v>304700</v>
      </c>
      <c r="V7" s="6">
        <f>U7/T7</f>
        <v>124.51982018798529</v>
      </c>
      <c r="W7" s="23">
        <f>J7*MIN(M7:N7)</f>
        <v>99000.000000000015</v>
      </c>
      <c r="X7" s="23">
        <f>MAX(IF(Q7="",0,MIN(((U7+M7)*K7)-W7,(Q7*L7)-W7)),0)</f>
        <v>282816.75</v>
      </c>
      <c r="Y7" s="23">
        <f>W7+X7</f>
        <v>381816.75</v>
      </c>
      <c r="Z7" s="24">
        <f>IF(Q7&gt;0,Y7/Q7,Y7/N7)</f>
        <v>0.61090679999999997</v>
      </c>
      <c r="AA7" s="24">
        <f>IF(Q7&gt;0,Y7/(M7+U7),Y7/M7)</f>
        <v>0.75</v>
      </c>
      <c r="AB7" s="5">
        <f t="shared" si="15"/>
        <v>283703.34999999998</v>
      </c>
      <c r="AC7" s="17">
        <v>44068</v>
      </c>
      <c r="AD7" s="25">
        <v>99000.000000000015</v>
      </c>
      <c r="AE7" s="25">
        <f>100910.85+29555.9+54236.6</f>
        <v>184703.35</v>
      </c>
      <c r="AF7" s="26">
        <f>SUM(AD7:AE7)</f>
        <v>283703.35000000003</v>
      </c>
      <c r="AG7" s="26">
        <f t="shared" si="0"/>
        <v>0</v>
      </c>
      <c r="AH7" s="23">
        <f t="shared" si="1"/>
        <v>0</v>
      </c>
      <c r="AI7" s="27">
        <v>0.67800000000000005</v>
      </c>
      <c r="AJ7" s="23">
        <f t="shared" si="17"/>
        <v>0</v>
      </c>
      <c r="AK7" s="23">
        <f t="shared" si="2"/>
        <v>98113.39999999998</v>
      </c>
      <c r="AL7" s="23">
        <f t="shared" si="3"/>
        <v>98113.399999999965</v>
      </c>
      <c r="AM7" s="2">
        <v>283703.34999999998</v>
      </c>
      <c r="AN7" s="2"/>
      <c r="AO7" s="28">
        <f>AM7-AN7</f>
        <v>283703.34999999998</v>
      </c>
      <c r="AP7" s="18">
        <v>44111</v>
      </c>
      <c r="AQ7" s="18">
        <v>44137</v>
      </c>
      <c r="AR7" s="18">
        <v>44162</v>
      </c>
      <c r="AS7" s="11"/>
      <c r="AT7" s="2">
        <f t="shared" si="4"/>
        <v>595238.09523809527</v>
      </c>
      <c r="AU7" s="2">
        <f>AV7-AT7</f>
        <v>29761.904761904734</v>
      </c>
      <c r="AV7" s="14">
        <v>625000</v>
      </c>
      <c r="AW7" s="14"/>
      <c r="AX7" s="14">
        <f>25000+31250+100000</f>
        <v>156250</v>
      </c>
      <c r="AY7" s="29">
        <f t="shared" si="5"/>
        <v>0.25</v>
      </c>
      <c r="AZ7" s="11" t="s">
        <v>188</v>
      </c>
      <c r="BA7" s="30">
        <f>IFERROR(AV7/P7,0)</f>
        <v>1</v>
      </c>
      <c r="BB7" s="19">
        <v>43801</v>
      </c>
      <c r="BC7" s="11"/>
    </row>
    <row r="8" spans="2:55" hidden="1" x14ac:dyDescent="0.3">
      <c r="B8" s="11" t="s">
        <v>189</v>
      </c>
      <c r="C8" s="21">
        <v>1910205</v>
      </c>
      <c r="D8" s="13">
        <v>2</v>
      </c>
      <c r="E8" s="13">
        <v>5</v>
      </c>
      <c r="F8" s="11" t="s">
        <v>176</v>
      </c>
      <c r="G8" s="11" t="s">
        <v>177</v>
      </c>
      <c r="H8" s="11" t="s">
        <v>190</v>
      </c>
      <c r="I8" s="11" t="str">
        <f t="shared" ref="I8" si="19">IF(AI8=0,"Land",IF(AND(AI8&gt;0,AI8&lt;1),"Construction",IF(AI8=1,"Completed")))</f>
        <v>Completed</v>
      </c>
      <c r="J8" s="4">
        <v>0.55000000000000004</v>
      </c>
      <c r="K8" s="4">
        <v>0.75</v>
      </c>
      <c r="L8" s="4">
        <v>0.65</v>
      </c>
      <c r="M8" s="14">
        <v>214757</v>
      </c>
      <c r="N8" s="15">
        <v>175000</v>
      </c>
      <c r="O8" s="15">
        <f t="shared" ref="O8:O10" si="20">MIN(M8:N8)</f>
        <v>175000</v>
      </c>
      <c r="P8" s="15">
        <v>622000</v>
      </c>
      <c r="Q8" s="3">
        <f>IF(AV8&gt;0,MIN(P8,AV8),P8)</f>
        <v>622000</v>
      </c>
      <c r="R8" s="5">
        <f t="shared" ref="R8:R10" si="21">Q8/T8</f>
        <v>256.60066006600658</v>
      </c>
      <c r="S8" s="16">
        <f>464*10.7639</f>
        <v>4994.4495999999999</v>
      </c>
      <c r="T8" s="16">
        <v>2424</v>
      </c>
      <c r="U8" s="1">
        <v>373978.80729249993</v>
      </c>
      <c r="V8" s="6">
        <f t="shared" ref="V8:V10" si="22">U8/T8</f>
        <v>154.28168617677389</v>
      </c>
      <c r="W8" s="23">
        <f t="shared" ref="W8:W9" si="23">J8*MIN(M8:N8)</f>
        <v>96250.000000000015</v>
      </c>
      <c r="X8" s="23">
        <f t="shared" ref="X8:X10" si="24">MAX(IF(Q8="",0,MIN(((U8+M8)*K8)-W8,(Q8*L8)-W8)),0)</f>
        <v>308050</v>
      </c>
      <c r="Y8" s="31">
        <f>W8+X8</f>
        <v>404300</v>
      </c>
      <c r="Z8" s="24">
        <f t="shared" ref="Z8:Z10" si="25">IF(Q8&gt;0,Y8/Q8,Y8/N8)</f>
        <v>0.65</v>
      </c>
      <c r="AA8" s="24">
        <f t="shared" ref="AA8:AA10" si="26">IF(Q8&gt;0,Y8/(M8+U8),Y8/M8)</f>
        <v>0.68672568407094148</v>
      </c>
      <c r="AB8" s="5">
        <f t="shared" si="15"/>
        <v>404300</v>
      </c>
      <c r="AC8" s="17">
        <v>44008</v>
      </c>
      <c r="AD8" s="25">
        <v>87500</v>
      </c>
      <c r="AE8" s="25">
        <f>285700+23532.5+23117.5</f>
        <v>332350</v>
      </c>
      <c r="AF8" s="26">
        <f t="shared" ref="AF8" si="27">SUM(AD8:AE8)</f>
        <v>419850</v>
      </c>
      <c r="AG8" s="26">
        <f t="shared" si="0"/>
        <v>0</v>
      </c>
      <c r="AH8" s="23">
        <f t="shared" si="1"/>
        <v>-15550</v>
      </c>
      <c r="AI8" s="27">
        <v>1</v>
      </c>
      <c r="AJ8" s="23">
        <f t="shared" si="17"/>
        <v>0</v>
      </c>
      <c r="AK8" s="23">
        <f t="shared" si="2"/>
        <v>0</v>
      </c>
      <c r="AL8" s="23">
        <f t="shared" si="3"/>
        <v>-15550</v>
      </c>
      <c r="AM8" s="2">
        <v>419850</v>
      </c>
      <c r="AN8" s="2"/>
      <c r="AO8" s="28">
        <f t="shared" ref="AO8:AO10" si="28">AM8-AN8</f>
        <v>419850</v>
      </c>
      <c r="AP8" s="18">
        <v>44174</v>
      </c>
      <c r="AQ8" s="18">
        <v>44180</v>
      </c>
      <c r="AR8" s="18">
        <v>44211</v>
      </c>
      <c r="AS8" s="11"/>
      <c r="AT8" s="2">
        <f t="shared" si="4"/>
        <v>600000</v>
      </c>
      <c r="AU8" s="2">
        <f>AT8*0.05</f>
        <v>30000</v>
      </c>
      <c r="AV8" s="32">
        <v>630000</v>
      </c>
      <c r="AW8" s="32"/>
      <c r="AX8" s="14">
        <v>63000</v>
      </c>
      <c r="AY8" s="29">
        <f t="shared" si="5"/>
        <v>0.1</v>
      </c>
      <c r="AZ8" s="11" t="s">
        <v>191</v>
      </c>
      <c r="BA8" s="33">
        <f>IFERROR(AV8/P8,0)</f>
        <v>1.0128617363344052</v>
      </c>
      <c r="BB8" s="18">
        <v>44077</v>
      </c>
      <c r="BC8" s="11"/>
    </row>
    <row r="9" spans="2:55" hidden="1" x14ac:dyDescent="0.3">
      <c r="B9" s="11" t="s">
        <v>192</v>
      </c>
      <c r="C9" s="22" t="s">
        <v>181</v>
      </c>
      <c r="D9" s="13">
        <v>2</v>
      </c>
      <c r="E9" s="13">
        <v>2</v>
      </c>
      <c r="F9" s="11" t="s">
        <v>176</v>
      </c>
      <c r="G9" s="11" t="s">
        <v>177</v>
      </c>
      <c r="H9" s="11" t="s">
        <v>178</v>
      </c>
      <c r="I9" s="11" t="str">
        <f>IF(AI9=0,"Land",IF(AND(AI9&gt;0,AI9&lt;1),"Construction",IF(AI9=1,"Completed")))</f>
        <v>Construction</v>
      </c>
      <c r="J9" s="4">
        <v>0.6</v>
      </c>
      <c r="K9" s="4">
        <v>0.77500000000000002</v>
      </c>
      <c r="L9" s="4">
        <v>0.67500000000000004</v>
      </c>
      <c r="M9" s="14">
        <v>205234</v>
      </c>
      <c r="N9" s="15">
        <v>180000</v>
      </c>
      <c r="O9" s="15">
        <f t="shared" si="20"/>
        <v>180000</v>
      </c>
      <c r="P9" s="15">
        <v>668000</v>
      </c>
      <c r="Q9" s="3">
        <f>IF(AV9&gt;0,MIN(P9,AV9),P9)</f>
        <v>665000</v>
      </c>
      <c r="R9" s="5">
        <f t="shared" si="21"/>
        <v>221.44522144522145</v>
      </c>
      <c r="S9" s="16">
        <v>4897</v>
      </c>
      <c r="T9" s="16">
        <v>3003</v>
      </c>
      <c r="U9" s="1">
        <v>375400</v>
      </c>
      <c r="V9" s="6">
        <f t="shared" si="22"/>
        <v>125.008325008325</v>
      </c>
      <c r="W9" s="23">
        <f t="shared" si="23"/>
        <v>108000</v>
      </c>
      <c r="X9" s="23">
        <f t="shared" si="24"/>
        <v>340875.00000000006</v>
      </c>
      <c r="Y9" s="31">
        <f t="shared" ref="Y9:Y10" si="29">W9+X9</f>
        <v>448875.00000000006</v>
      </c>
      <c r="Z9" s="24">
        <f t="shared" si="25"/>
        <v>0.67500000000000004</v>
      </c>
      <c r="AA9" s="24">
        <f t="shared" si="26"/>
        <v>0.77307736026481411</v>
      </c>
      <c r="AB9" s="5">
        <f t="shared" si="15"/>
        <v>416590.6</v>
      </c>
      <c r="AC9" s="17">
        <v>44154</v>
      </c>
      <c r="AD9" s="25">
        <v>108000</v>
      </c>
      <c r="AE9" s="25">
        <f>143039.2+70199.8+95351.6</f>
        <v>308590.59999999998</v>
      </c>
      <c r="AF9" s="26">
        <f t="shared" ref="AF9:AF10" si="30">SUM(AD9:AE9)</f>
        <v>416590.6</v>
      </c>
      <c r="AG9" s="26">
        <f t="shared" si="0"/>
        <v>0</v>
      </c>
      <c r="AH9" s="23">
        <f t="shared" si="1"/>
        <v>0</v>
      </c>
      <c r="AI9" s="27">
        <v>0.91400000000000003</v>
      </c>
      <c r="AJ9" s="23">
        <f t="shared" si="17"/>
        <v>0</v>
      </c>
      <c r="AK9" s="23">
        <f t="shared" si="2"/>
        <v>32284.399999999987</v>
      </c>
      <c r="AL9" s="23">
        <f t="shared" si="3"/>
        <v>32284.400000000081</v>
      </c>
      <c r="AM9" s="2">
        <v>416590.6</v>
      </c>
      <c r="AN9" s="2"/>
      <c r="AO9" s="2">
        <f t="shared" si="28"/>
        <v>416590.6</v>
      </c>
      <c r="AP9" s="18">
        <v>44223</v>
      </c>
      <c r="AQ9" s="18">
        <v>44228</v>
      </c>
      <c r="AR9" s="11"/>
      <c r="AS9" s="11"/>
      <c r="AT9" s="2">
        <f t="shared" si="4"/>
        <v>633333.33333333326</v>
      </c>
      <c r="AU9" s="2">
        <f>AT9*0.05</f>
        <v>31666.666666666664</v>
      </c>
      <c r="AV9" s="2">
        <v>665000</v>
      </c>
      <c r="AW9" s="2"/>
      <c r="AX9" s="14">
        <f>5000+94750</f>
        <v>99750</v>
      </c>
      <c r="AY9" s="29">
        <f t="shared" si="5"/>
        <v>0.15</v>
      </c>
      <c r="AZ9" s="11" t="s">
        <v>193</v>
      </c>
      <c r="BA9" s="33">
        <f>IFERROR(AV9/P9,0)</f>
        <v>0.99550898203592819</v>
      </c>
      <c r="BB9" s="19">
        <v>44037</v>
      </c>
      <c r="BC9" s="11"/>
    </row>
    <row r="10" spans="2:55" hidden="1" x14ac:dyDescent="0.3">
      <c r="B10" s="11" t="s">
        <v>194</v>
      </c>
      <c r="C10" s="20" t="s">
        <v>181</v>
      </c>
      <c r="D10" s="13">
        <v>1</v>
      </c>
      <c r="E10" s="13">
        <v>6</v>
      </c>
      <c r="F10" s="11" t="s">
        <v>176</v>
      </c>
      <c r="G10" s="11" t="s">
        <v>177</v>
      </c>
      <c r="H10" s="11" t="s">
        <v>195</v>
      </c>
      <c r="I10" s="11" t="str">
        <f>IF(AI10=0,"Land",IF(AND(AI10&gt;0,AI10&lt;1),"Construction",IF(AI10=1,"Completed")))</f>
        <v>Construction</v>
      </c>
      <c r="J10" s="4">
        <v>0.5</v>
      </c>
      <c r="K10" s="4">
        <v>0.72499999999999998</v>
      </c>
      <c r="L10" s="4">
        <v>0.625</v>
      </c>
      <c r="M10" s="14">
        <v>211331</v>
      </c>
      <c r="N10" s="15">
        <v>200000</v>
      </c>
      <c r="O10" s="15">
        <f t="shared" si="20"/>
        <v>200000</v>
      </c>
      <c r="P10" s="15">
        <v>585000</v>
      </c>
      <c r="Q10" s="3">
        <f>IF(AV10&gt;0,MIN(P10,AV10),P10)</f>
        <v>585000</v>
      </c>
      <c r="R10" s="5">
        <f t="shared" si="21"/>
        <v>253.68603642671292</v>
      </c>
      <c r="S10" s="16">
        <v>5242</v>
      </c>
      <c r="T10" s="16">
        <v>2306</v>
      </c>
      <c r="U10" s="1">
        <v>318700</v>
      </c>
      <c r="V10" s="6">
        <f t="shared" si="22"/>
        <v>138.20468343451864</v>
      </c>
      <c r="W10" s="23">
        <f>J10*MIN(M10:N10)</f>
        <v>100000</v>
      </c>
      <c r="X10" s="23">
        <f t="shared" si="24"/>
        <v>265625</v>
      </c>
      <c r="Y10" s="23">
        <f t="shared" si="29"/>
        <v>365625</v>
      </c>
      <c r="Z10" s="24">
        <f t="shared" si="25"/>
        <v>0.625</v>
      </c>
      <c r="AA10" s="24">
        <f t="shared" si="26"/>
        <v>0.68981814271240738</v>
      </c>
      <c r="AB10" s="5">
        <f t="shared" si="15"/>
        <v>361800.6</v>
      </c>
      <c r="AC10" s="17">
        <v>44154</v>
      </c>
      <c r="AD10" s="25">
        <v>100000</v>
      </c>
      <c r="AE10" s="25">
        <f>180850.8+84774.2</f>
        <v>265625</v>
      </c>
      <c r="AF10" s="26">
        <f t="shared" si="30"/>
        <v>365625</v>
      </c>
      <c r="AG10" s="26">
        <f t="shared" si="0"/>
        <v>0</v>
      </c>
      <c r="AH10" s="23">
        <f t="shared" si="1"/>
        <v>-3824.4000000000233</v>
      </c>
      <c r="AI10" s="27">
        <v>0.98799999999999999</v>
      </c>
      <c r="AJ10" s="23">
        <f t="shared" si="17"/>
        <v>0</v>
      </c>
      <c r="AK10" s="23">
        <f t="shared" si="2"/>
        <v>3824.4000000000033</v>
      </c>
      <c r="AL10" s="23">
        <f t="shared" si="3"/>
        <v>0</v>
      </c>
      <c r="AM10" s="2">
        <v>365625</v>
      </c>
      <c r="AN10" s="2"/>
      <c r="AO10" s="28">
        <f t="shared" si="28"/>
        <v>365625</v>
      </c>
      <c r="AP10" s="18">
        <v>44236</v>
      </c>
      <c r="AQ10" s="18">
        <v>44244</v>
      </c>
      <c r="AR10" s="18">
        <v>44274</v>
      </c>
      <c r="AS10" s="11"/>
      <c r="AT10" s="2">
        <f t="shared" si="4"/>
        <v>588571.42857142852</v>
      </c>
      <c r="AU10" s="2">
        <f>AV10-AT10</f>
        <v>29428.571428571478</v>
      </c>
      <c r="AV10" s="14">
        <v>618000</v>
      </c>
      <c r="AW10" s="14"/>
      <c r="AX10" s="14">
        <v>30000</v>
      </c>
      <c r="AY10" s="29">
        <f t="shared" si="5"/>
        <v>4.8543689320388349E-2</v>
      </c>
      <c r="AZ10" s="11" t="s">
        <v>196</v>
      </c>
      <c r="BA10" s="30">
        <f>IFERROR(AV10/P10,0)</f>
        <v>1.0564102564102564</v>
      </c>
      <c r="BB10" s="19">
        <v>44208</v>
      </c>
      <c r="BC10" s="11"/>
    </row>
    <row r="11" spans="2:55" hidden="1" x14ac:dyDescent="0.3">
      <c r="B11" s="11" t="s">
        <v>197</v>
      </c>
      <c r="C11" s="20" t="s">
        <v>175</v>
      </c>
      <c r="D11" s="13">
        <v>44</v>
      </c>
      <c r="E11" s="13">
        <v>20</v>
      </c>
      <c r="F11" s="11" t="s">
        <v>176</v>
      </c>
      <c r="G11" s="11" t="s">
        <v>177</v>
      </c>
      <c r="H11" s="11" t="s">
        <v>178</v>
      </c>
      <c r="I11" s="11" t="s">
        <v>198</v>
      </c>
      <c r="J11" s="34">
        <v>0.55000000000000004</v>
      </c>
      <c r="K11" s="34">
        <v>0.75</v>
      </c>
      <c r="L11" s="34">
        <v>0.65</v>
      </c>
      <c r="M11" s="14">
        <v>205000</v>
      </c>
      <c r="N11" s="15">
        <v>200000</v>
      </c>
      <c r="O11" s="15">
        <v>200000</v>
      </c>
      <c r="P11" s="15">
        <v>780000</v>
      </c>
      <c r="Q11" s="3">
        <v>780000</v>
      </c>
      <c r="R11" s="5">
        <v>237.37066342057213</v>
      </c>
      <c r="S11" s="16">
        <v>5511.1167999999998</v>
      </c>
      <c r="T11" s="16">
        <v>3286</v>
      </c>
      <c r="U11" s="1">
        <v>407500</v>
      </c>
      <c r="V11" s="6">
        <v>124.01095556908095</v>
      </c>
      <c r="W11" s="23">
        <v>110000.00000000001</v>
      </c>
      <c r="X11" s="23">
        <v>349375</v>
      </c>
      <c r="Y11" s="23">
        <v>459375</v>
      </c>
      <c r="Z11" s="24">
        <v>0.58894230769230771</v>
      </c>
      <c r="AA11" s="24">
        <v>0.75</v>
      </c>
      <c r="AB11" s="5">
        <v>434925</v>
      </c>
      <c r="AC11" s="17">
        <v>44008</v>
      </c>
      <c r="AD11" s="25">
        <v>110000.00000000001</v>
      </c>
      <c r="AE11" s="25">
        <v>290695</v>
      </c>
      <c r="AF11" s="26">
        <v>400695</v>
      </c>
      <c r="AG11" s="26">
        <v>0</v>
      </c>
      <c r="AH11" s="23">
        <v>34230</v>
      </c>
      <c r="AI11" s="27">
        <v>0.94</v>
      </c>
      <c r="AJ11" s="23">
        <v>0</v>
      </c>
      <c r="AK11" s="23">
        <v>24450.000000000022</v>
      </c>
      <c r="AL11" s="23">
        <v>58680</v>
      </c>
      <c r="AM11" s="2">
        <v>400695</v>
      </c>
      <c r="AN11" s="2"/>
      <c r="AO11" s="28">
        <v>400695</v>
      </c>
      <c r="AP11" s="18">
        <v>44067</v>
      </c>
      <c r="AQ11" s="18">
        <v>44068</v>
      </c>
      <c r="AR11" s="11"/>
      <c r="AS11" s="11"/>
      <c r="AT11" s="2">
        <v>743333.33333333326</v>
      </c>
      <c r="AU11" s="2">
        <v>37166.666666666664</v>
      </c>
      <c r="AV11" s="14">
        <v>780500</v>
      </c>
      <c r="AW11" s="14"/>
      <c r="AX11" s="14">
        <v>55000</v>
      </c>
      <c r="AY11" s="35">
        <v>7.0467648942985267E-2</v>
      </c>
      <c r="AZ11" s="11" t="s">
        <v>199</v>
      </c>
      <c r="BA11" s="30">
        <v>1.0006410256410256</v>
      </c>
      <c r="BB11" s="19">
        <v>43791</v>
      </c>
      <c r="BC11" s="11"/>
    </row>
    <row r="12" spans="2:55" hidden="1" x14ac:dyDescent="0.3">
      <c r="B12" s="11" t="s">
        <v>200</v>
      </c>
      <c r="C12" s="22" t="s">
        <v>201</v>
      </c>
      <c r="D12" s="13">
        <v>4</v>
      </c>
      <c r="E12" s="13" t="s">
        <v>202</v>
      </c>
      <c r="F12" s="11" t="s">
        <v>203</v>
      </c>
      <c r="G12" s="11" t="s">
        <v>177</v>
      </c>
      <c r="H12" s="11" t="s">
        <v>195</v>
      </c>
      <c r="I12" s="11" t="s">
        <v>204</v>
      </c>
      <c r="J12" s="4">
        <v>0.5</v>
      </c>
      <c r="K12" s="4">
        <v>0.67500000000000004</v>
      </c>
      <c r="L12" s="4">
        <v>0.57499999999999996</v>
      </c>
      <c r="M12" s="14">
        <v>134400</v>
      </c>
      <c r="N12" s="15">
        <v>70000</v>
      </c>
      <c r="O12" s="15">
        <v>70000</v>
      </c>
      <c r="P12" s="15">
        <v>463000</v>
      </c>
      <c r="Q12" s="3">
        <v>463000</v>
      </c>
      <c r="R12" s="5">
        <v>314.11126187245588</v>
      </c>
      <c r="S12" s="16">
        <v>7803.8274999999994</v>
      </c>
      <c r="T12" s="16">
        <v>1474</v>
      </c>
      <c r="U12" s="1">
        <v>271200</v>
      </c>
      <c r="V12" s="6">
        <v>183.98914518317503</v>
      </c>
      <c r="W12" s="23">
        <v>35000</v>
      </c>
      <c r="X12" s="23">
        <v>231225</v>
      </c>
      <c r="Y12" s="31">
        <v>266225</v>
      </c>
      <c r="Z12" s="24">
        <v>0.57499999999999996</v>
      </c>
      <c r="AA12" s="24">
        <v>0.65637327416173574</v>
      </c>
      <c r="AB12" s="5">
        <v>266225</v>
      </c>
      <c r="AC12" s="17">
        <v>44008</v>
      </c>
      <c r="AD12" s="25">
        <v>35000</v>
      </c>
      <c r="AE12" s="25">
        <v>230851.25000000003</v>
      </c>
      <c r="AF12" s="26">
        <v>265851.25</v>
      </c>
      <c r="AG12" s="23">
        <v>0</v>
      </c>
      <c r="AH12" s="23">
        <v>373.75</v>
      </c>
      <c r="AI12" s="27">
        <v>1</v>
      </c>
      <c r="AJ12" s="23">
        <v>0</v>
      </c>
      <c r="AK12" s="23">
        <v>0</v>
      </c>
      <c r="AL12" s="23">
        <v>373.75</v>
      </c>
      <c r="AM12" s="2">
        <v>265851.25</v>
      </c>
      <c r="AN12" s="2"/>
      <c r="AO12" s="2">
        <v>265851.25</v>
      </c>
      <c r="AP12" s="18">
        <v>44236</v>
      </c>
      <c r="AQ12" s="18">
        <v>44257</v>
      </c>
      <c r="AR12" s="18">
        <v>44295</v>
      </c>
      <c r="AS12" s="11"/>
      <c r="AT12" s="2">
        <v>449523.80952380953</v>
      </c>
      <c r="AU12" s="2">
        <v>22476.190476190477</v>
      </c>
      <c r="AV12" s="2">
        <v>472000</v>
      </c>
      <c r="AW12" s="2"/>
      <c r="AX12" s="14">
        <v>15000</v>
      </c>
      <c r="AY12" s="29">
        <v>3.1779661016949151E-2</v>
      </c>
      <c r="AZ12" s="11" t="s">
        <v>205</v>
      </c>
      <c r="BA12" s="33">
        <v>1.0194384449244061</v>
      </c>
      <c r="BB12" s="19">
        <v>44147</v>
      </c>
      <c r="BC12" s="11"/>
    </row>
    <row r="13" spans="2:55" hidden="1" x14ac:dyDescent="0.3">
      <c r="B13" s="11" t="s">
        <v>206</v>
      </c>
      <c r="C13" s="22" t="s">
        <v>181</v>
      </c>
      <c r="D13" s="13">
        <v>2</v>
      </c>
      <c r="E13" s="13">
        <v>1</v>
      </c>
      <c r="F13" s="11" t="s">
        <v>176</v>
      </c>
      <c r="G13" s="11" t="s">
        <v>177</v>
      </c>
      <c r="H13" s="11" t="s">
        <v>178</v>
      </c>
      <c r="I13" s="11" t="s">
        <v>198</v>
      </c>
      <c r="J13" s="4">
        <v>0.6</v>
      </c>
      <c r="K13" s="4">
        <v>0.77500000000000002</v>
      </c>
      <c r="L13" s="4">
        <v>0.67500000000000004</v>
      </c>
      <c r="M13" s="14">
        <v>205234</v>
      </c>
      <c r="N13" s="15">
        <v>180000</v>
      </c>
      <c r="O13" s="15">
        <v>180000</v>
      </c>
      <c r="P13" s="15">
        <v>684000</v>
      </c>
      <c r="Q13" s="3">
        <v>683500</v>
      </c>
      <c r="R13" s="5">
        <v>223.51209941137998</v>
      </c>
      <c r="S13" s="16">
        <v>4898</v>
      </c>
      <c r="T13" s="16">
        <v>3058</v>
      </c>
      <c r="U13" s="1">
        <v>383900</v>
      </c>
      <c r="V13" s="6">
        <v>125.53956834532374</v>
      </c>
      <c r="W13" s="23">
        <v>108000</v>
      </c>
      <c r="X13" s="23">
        <v>348578.85000000003</v>
      </c>
      <c r="Y13" s="31">
        <v>456578.85000000003</v>
      </c>
      <c r="Z13" s="24">
        <v>0.66800124359912216</v>
      </c>
      <c r="AA13" s="24">
        <v>0.77500000000000002</v>
      </c>
      <c r="AB13" s="5">
        <v>412430.35</v>
      </c>
      <c r="AC13" s="17">
        <v>44154</v>
      </c>
      <c r="AD13" s="25">
        <v>108000</v>
      </c>
      <c r="AE13" s="25">
        <v>304430.35000000003</v>
      </c>
      <c r="AF13" s="26">
        <v>412430.35000000003</v>
      </c>
      <c r="AG13" s="23">
        <v>0</v>
      </c>
      <c r="AH13" s="23">
        <v>0</v>
      </c>
      <c r="AI13" s="27">
        <v>0.88500000000000001</v>
      </c>
      <c r="AJ13" s="23">
        <v>0</v>
      </c>
      <c r="AK13" s="23">
        <v>44148.5</v>
      </c>
      <c r="AL13" s="23">
        <v>44148.5</v>
      </c>
      <c r="AM13" s="2">
        <v>412430.35</v>
      </c>
      <c r="AN13" s="2"/>
      <c r="AO13" s="28">
        <v>412430.35</v>
      </c>
      <c r="AP13" s="18">
        <v>44300</v>
      </c>
      <c r="AQ13" s="18">
        <v>44305</v>
      </c>
      <c r="AR13" s="18">
        <v>44335</v>
      </c>
      <c r="AS13" s="11"/>
      <c r="AT13" s="2">
        <v>650952.38095238095</v>
      </c>
      <c r="AU13" s="2">
        <v>32547.61904761905</v>
      </c>
      <c r="AV13" s="2">
        <v>683500</v>
      </c>
      <c r="AW13" s="2"/>
      <c r="AX13" s="14">
        <v>34175</v>
      </c>
      <c r="AY13" s="29">
        <v>0.05</v>
      </c>
      <c r="AZ13" s="11" t="s">
        <v>207</v>
      </c>
      <c r="BA13" s="33">
        <v>0.9992690058479532</v>
      </c>
      <c r="BB13" s="19">
        <v>43990</v>
      </c>
      <c r="BC13" s="11"/>
    </row>
    <row r="14" spans="2:55" hidden="1" x14ac:dyDescent="0.3">
      <c r="B14" s="11" t="s">
        <v>208</v>
      </c>
      <c r="C14" s="22" t="s">
        <v>209</v>
      </c>
      <c r="D14" s="13">
        <v>3</v>
      </c>
      <c r="E14" s="13" t="s">
        <v>202</v>
      </c>
      <c r="F14" s="11" t="s">
        <v>37</v>
      </c>
      <c r="G14" s="11" t="s">
        <v>177</v>
      </c>
      <c r="H14" s="11" t="s">
        <v>195</v>
      </c>
      <c r="I14" s="11" t="s">
        <v>198</v>
      </c>
      <c r="J14" s="4">
        <v>0.5</v>
      </c>
      <c r="K14" s="4">
        <v>0.72499999999999998</v>
      </c>
      <c r="L14" s="4">
        <v>0.625</v>
      </c>
      <c r="M14" s="14">
        <v>153750</v>
      </c>
      <c r="N14" s="15">
        <v>160000</v>
      </c>
      <c r="O14" s="15">
        <v>153750</v>
      </c>
      <c r="P14" s="15">
        <v>539900</v>
      </c>
      <c r="Q14" s="3">
        <v>538000</v>
      </c>
      <c r="R14" s="5">
        <v>381.83108587650815</v>
      </c>
      <c r="S14" s="16">
        <v>1400</v>
      </c>
      <c r="T14" s="16">
        <v>1409</v>
      </c>
      <c r="U14" s="1">
        <v>280901.07135338057</v>
      </c>
      <c r="V14" s="6">
        <v>199.36200947720408</v>
      </c>
      <c r="W14" s="23">
        <v>76875</v>
      </c>
      <c r="X14" s="23">
        <v>238247.02673120092</v>
      </c>
      <c r="Y14" s="31">
        <v>315122.02673120092</v>
      </c>
      <c r="Z14" s="24">
        <v>0.58572867422156305</v>
      </c>
      <c r="AA14" s="24">
        <v>0.72499999999999998</v>
      </c>
      <c r="AB14" s="5">
        <v>285908.32</v>
      </c>
      <c r="AC14" s="17">
        <v>44008</v>
      </c>
      <c r="AD14" s="25">
        <v>76875</v>
      </c>
      <c r="AE14" s="25">
        <v>209033.32</v>
      </c>
      <c r="AF14" s="26">
        <v>285908.32</v>
      </c>
      <c r="AG14" s="23">
        <v>0</v>
      </c>
      <c r="AH14" s="23">
        <v>0</v>
      </c>
      <c r="AI14" s="27">
        <v>0.89600000000000002</v>
      </c>
      <c r="AJ14" s="23">
        <v>0</v>
      </c>
      <c r="AK14" s="23">
        <v>29213.711420751573</v>
      </c>
      <c r="AL14" s="23">
        <v>29213.706731200917</v>
      </c>
      <c r="AM14" s="2">
        <v>285908.32</v>
      </c>
      <c r="AN14" s="2"/>
      <c r="AO14" s="28">
        <v>285908.32</v>
      </c>
      <c r="AP14" s="18">
        <v>44305</v>
      </c>
      <c r="AQ14" s="18">
        <v>44306</v>
      </c>
      <c r="AR14" s="18">
        <v>44335</v>
      </c>
      <c r="AS14" s="11"/>
      <c r="AT14" s="2">
        <v>512380.95238095237</v>
      </c>
      <c r="AU14" s="2">
        <v>25619.047619047618</v>
      </c>
      <c r="AV14" s="2">
        <v>538000</v>
      </c>
      <c r="AW14" s="2"/>
      <c r="AX14" s="32">
        <v>10000</v>
      </c>
      <c r="AY14" s="29">
        <v>1.858736059479554E-2</v>
      </c>
      <c r="AZ14" s="11" t="s">
        <v>210</v>
      </c>
      <c r="BA14" s="33">
        <v>0.99648082978329322</v>
      </c>
      <c r="BB14" s="19">
        <v>44257</v>
      </c>
      <c r="BC14" s="11"/>
    </row>
    <row r="15" spans="2:55" hidden="1" x14ac:dyDescent="0.3">
      <c r="B15" s="11" t="s">
        <v>211</v>
      </c>
      <c r="C15" s="22" t="s">
        <v>212</v>
      </c>
      <c r="D15" s="13">
        <v>11</v>
      </c>
      <c r="E15" s="13">
        <v>42</v>
      </c>
      <c r="F15" s="11" t="s">
        <v>176</v>
      </c>
      <c r="G15" s="11" t="s">
        <v>177</v>
      </c>
      <c r="H15" s="11" t="s">
        <v>178</v>
      </c>
      <c r="I15" s="11" t="s">
        <v>198</v>
      </c>
      <c r="J15" s="4">
        <v>0.6</v>
      </c>
      <c r="K15" s="4">
        <v>0.77500000000000002</v>
      </c>
      <c r="L15" s="4">
        <v>0.67500000000000004</v>
      </c>
      <c r="M15" s="14">
        <v>187000</v>
      </c>
      <c r="N15" s="14">
        <v>215000</v>
      </c>
      <c r="O15" s="15">
        <v>187000</v>
      </c>
      <c r="P15" s="15">
        <v>685000</v>
      </c>
      <c r="Q15" s="3">
        <v>685000</v>
      </c>
      <c r="R15" s="5">
        <v>230.71741327046144</v>
      </c>
      <c r="S15" s="16">
        <v>5748</v>
      </c>
      <c r="T15" s="16">
        <v>2969</v>
      </c>
      <c r="U15" s="1">
        <v>388300</v>
      </c>
      <c r="V15" s="6">
        <v>130.78477601886158</v>
      </c>
      <c r="W15" s="23">
        <v>112200</v>
      </c>
      <c r="X15" s="23">
        <v>333657.5</v>
      </c>
      <c r="Y15" s="31">
        <v>445857.5</v>
      </c>
      <c r="Z15" s="24">
        <v>0.65088686131386864</v>
      </c>
      <c r="AA15" s="24">
        <v>0.77500000000000002</v>
      </c>
      <c r="AB15" s="5">
        <v>427995.7</v>
      </c>
      <c r="AC15" s="17">
        <v>44154</v>
      </c>
      <c r="AD15" s="25">
        <v>93500</v>
      </c>
      <c r="AE15" s="25">
        <v>334495.69999999995</v>
      </c>
      <c r="AF15" s="26">
        <v>427995.69999999995</v>
      </c>
      <c r="AG15" s="23">
        <v>0</v>
      </c>
      <c r="AH15" s="23">
        <v>0</v>
      </c>
      <c r="AI15" s="27">
        <v>0.95399999999999996</v>
      </c>
      <c r="AJ15" s="23">
        <v>0</v>
      </c>
      <c r="AK15" s="23">
        <v>17861.800000000017</v>
      </c>
      <c r="AL15" s="23">
        <v>17861.800000000047</v>
      </c>
      <c r="AM15" s="2">
        <v>427995.7</v>
      </c>
      <c r="AN15" s="2"/>
      <c r="AO15" s="28">
        <v>427995.7</v>
      </c>
      <c r="AP15" s="18">
        <v>44330</v>
      </c>
      <c r="AQ15" s="18">
        <v>44341</v>
      </c>
      <c r="AR15" s="18">
        <v>44375</v>
      </c>
      <c r="AS15" s="11"/>
      <c r="AT15" s="2">
        <v>669828.57142857136</v>
      </c>
      <c r="AU15" s="2">
        <v>33491.428571428638</v>
      </c>
      <c r="AV15" s="2">
        <v>703320</v>
      </c>
      <c r="AW15" s="2"/>
      <c r="AX15" s="14">
        <v>10000</v>
      </c>
      <c r="AY15" s="29">
        <v>1.4218279019507479E-2</v>
      </c>
      <c r="AZ15" s="19" t="s">
        <v>213</v>
      </c>
      <c r="BA15" s="33">
        <v>1.0267445255474452</v>
      </c>
      <c r="BB15" s="18">
        <v>44195</v>
      </c>
      <c r="BC15" s="36"/>
    </row>
    <row r="16" spans="2:55" hidden="1" x14ac:dyDescent="0.3">
      <c r="B16" s="11" t="s">
        <v>214</v>
      </c>
      <c r="C16" s="22" t="s">
        <v>209</v>
      </c>
      <c r="D16" s="13">
        <v>4</v>
      </c>
      <c r="E16" s="13" t="s">
        <v>202</v>
      </c>
      <c r="F16" s="11" t="s">
        <v>37</v>
      </c>
      <c r="G16" s="11" t="s">
        <v>177</v>
      </c>
      <c r="H16" s="11" t="s">
        <v>195</v>
      </c>
      <c r="I16" s="11" t="s">
        <v>204</v>
      </c>
      <c r="J16" s="4">
        <v>0.5</v>
      </c>
      <c r="K16" s="4">
        <v>0.72499999999999998</v>
      </c>
      <c r="L16" s="4">
        <v>0.625</v>
      </c>
      <c r="M16" s="14">
        <v>153750</v>
      </c>
      <c r="N16" s="15">
        <v>160000</v>
      </c>
      <c r="O16" s="15">
        <v>153750</v>
      </c>
      <c r="P16" s="15">
        <v>539900</v>
      </c>
      <c r="Q16" s="3">
        <v>537000</v>
      </c>
      <c r="R16" s="5">
        <v>381.12136266855924</v>
      </c>
      <c r="S16" s="16">
        <v>1400</v>
      </c>
      <c r="T16" s="16">
        <v>1409</v>
      </c>
      <c r="U16" s="1">
        <v>280901.07135338057</v>
      </c>
      <c r="V16" s="6">
        <v>199.36200947720408</v>
      </c>
      <c r="W16" s="23">
        <v>76875</v>
      </c>
      <c r="X16" s="23">
        <v>238247.02673120092</v>
      </c>
      <c r="Y16" s="31">
        <v>315122.02673120092</v>
      </c>
      <c r="Z16" s="24">
        <v>0.58681941663165904</v>
      </c>
      <c r="AA16" s="24">
        <v>0.72499999999999998</v>
      </c>
      <c r="AB16" s="5">
        <v>309223.09999999998</v>
      </c>
      <c r="AC16" s="17">
        <v>44008</v>
      </c>
      <c r="AD16" s="25">
        <v>76875</v>
      </c>
      <c r="AE16" s="25">
        <v>238247.03</v>
      </c>
      <c r="AF16" s="26">
        <v>315122.03000000003</v>
      </c>
      <c r="AG16" s="23">
        <v>0</v>
      </c>
      <c r="AH16" s="23">
        <v>-5898.9300000000512</v>
      </c>
      <c r="AI16" s="27">
        <v>0.97899999999999998</v>
      </c>
      <c r="AJ16" s="23">
        <v>0</v>
      </c>
      <c r="AK16" s="23">
        <v>5898.9224984209968</v>
      </c>
      <c r="AL16" s="23">
        <v>-3.2687991042621434E-3</v>
      </c>
      <c r="AM16" s="2">
        <v>315122.03000000003</v>
      </c>
      <c r="AN16" s="2"/>
      <c r="AO16" s="28">
        <v>315122.03000000003</v>
      </c>
      <c r="AP16" s="18">
        <v>44390</v>
      </c>
      <c r="AQ16" s="18">
        <v>44398</v>
      </c>
      <c r="AR16" s="18">
        <v>44420</v>
      </c>
      <c r="AS16" s="11"/>
      <c r="AT16" s="2">
        <v>511428.57142857142</v>
      </c>
      <c r="AU16" s="2">
        <v>25571.42857142858</v>
      </c>
      <c r="AV16" s="32">
        <v>537000</v>
      </c>
      <c r="AW16" s="32"/>
      <c r="AX16" s="32">
        <v>10000</v>
      </c>
      <c r="AY16" s="29">
        <v>1.86219739292365E-2</v>
      </c>
      <c r="AZ16" s="11" t="s">
        <v>215</v>
      </c>
      <c r="BA16" s="33">
        <v>0.99462863493239484</v>
      </c>
      <c r="BB16" s="19">
        <v>44278</v>
      </c>
      <c r="BC16" s="11"/>
    </row>
    <row r="17" spans="2:55" hidden="1" x14ac:dyDescent="0.3">
      <c r="B17" s="11" t="s">
        <v>216</v>
      </c>
      <c r="C17" s="22" t="s">
        <v>209</v>
      </c>
      <c r="D17" s="13">
        <v>2</v>
      </c>
      <c r="E17" s="13" t="s">
        <v>202</v>
      </c>
      <c r="F17" s="11" t="s">
        <v>37</v>
      </c>
      <c r="G17" s="11" t="s">
        <v>177</v>
      </c>
      <c r="H17" s="11" t="s">
        <v>195</v>
      </c>
      <c r="I17" s="11" t="s">
        <v>204</v>
      </c>
      <c r="J17" s="4">
        <v>0.5</v>
      </c>
      <c r="K17" s="4">
        <v>0.72499999999999998</v>
      </c>
      <c r="L17" s="4">
        <v>0.625</v>
      </c>
      <c r="M17" s="14">
        <v>153750</v>
      </c>
      <c r="N17" s="15">
        <v>160000</v>
      </c>
      <c r="O17" s="15">
        <v>153750</v>
      </c>
      <c r="P17" s="15">
        <v>539900</v>
      </c>
      <c r="Q17" s="3">
        <v>532000</v>
      </c>
      <c r="R17" s="5">
        <v>377.57274662881474</v>
      </c>
      <c r="S17" s="16">
        <v>1400</v>
      </c>
      <c r="T17" s="16">
        <v>1409</v>
      </c>
      <c r="U17" s="1">
        <v>280901.07135338057</v>
      </c>
      <c r="V17" s="6">
        <v>199.36200947720408</v>
      </c>
      <c r="W17" s="23">
        <v>76875</v>
      </c>
      <c r="X17" s="23">
        <v>238247.02673120092</v>
      </c>
      <c r="Y17" s="31">
        <v>315122.02673120092</v>
      </c>
      <c r="Z17" s="24">
        <v>0.59233463671278375</v>
      </c>
      <c r="AA17" s="24">
        <v>0.72499999999999998</v>
      </c>
      <c r="AB17" s="5">
        <v>309223.09999999998</v>
      </c>
      <c r="AC17" s="17">
        <v>44008</v>
      </c>
      <c r="AD17" s="25">
        <v>76875</v>
      </c>
      <c r="AE17" s="25">
        <v>238247.03</v>
      </c>
      <c r="AF17" s="26">
        <v>315122.03000000003</v>
      </c>
      <c r="AG17" s="23">
        <v>0</v>
      </c>
      <c r="AH17" s="23">
        <v>-5898.9300000000512</v>
      </c>
      <c r="AI17" s="27">
        <v>0.97899999999999998</v>
      </c>
      <c r="AJ17" s="23">
        <v>0</v>
      </c>
      <c r="AK17" s="23">
        <v>5898.9224984209968</v>
      </c>
      <c r="AL17" s="23">
        <v>-3.2687991042621434E-3</v>
      </c>
      <c r="AM17" s="2">
        <v>315122.03000000003</v>
      </c>
      <c r="AN17" s="2"/>
      <c r="AO17" s="28">
        <v>315122.03000000003</v>
      </c>
      <c r="AP17" s="2"/>
      <c r="AQ17" s="18">
        <v>44393</v>
      </c>
      <c r="AR17" s="18">
        <v>44420</v>
      </c>
      <c r="AS17" s="11"/>
      <c r="AT17" s="2">
        <v>506666.66666666663</v>
      </c>
      <c r="AU17" s="2">
        <v>25333.333333333372</v>
      </c>
      <c r="AV17" s="32">
        <v>532000</v>
      </c>
      <c r="AW17" s="32"/>
      <c r="AX17" s="32">
        <v>10000</v>
      </c>
      <c r="AY17" s="29">
        <v>1.8796992481203006E-2</v>
      </c>
      <c r="AZ17" s="11" t="s">
        <v>217</v>
      </c>
      <c r="BA17" s="27">
        <v>0.98536766067790327</v>
      </c>
      <c r="BB17" s="19">
        <v>44344</v>
      </c>
      <c r="BC17" s="11"/>
    </row>
    <row r="18" spans="2:55" hidden="1" x14ac:dyDescent="0.3">
      <c r="B18" s="11" t="s">
        <v>218</v>
      </c>
      <c r="C18" s="22" t="s">
        <v>209</v>
      </c>
      <c r="D18" s="13">
        <v>1</v>
      </c>
      <c r="E18" s="13" t="s">
        <v>202</v>
      </c>
      <c r="F18" s="11" t="s">
        <v>37</v>
      </c>
      <c r="G18" s="11" t="s">
        <v>177</v>
      </c>
      <c r="H18" s="11" t="s">
        <v>195</v>
      </c>
      <c r="I18" s="11" t="s">
        <v>204</v>
      </c>
      <c r="J18" s="4">
        <v>0.5</v>
      </c>
      <c r="K18" s="4">
        <v>0.72499999999999998</v>
      </c>
      <c r="L18" s="4">
        <v>0.625</v>
      </c>
      <c r="M18" s="14">
        <v>153750</v>
      </c>
      <c r="N18" s="15">
        <v>160000</v>
      </c>
      <c r="O18" s="15">
        <v>153750</v>
      </c>
      <c r="P18" s="15">
        <v>539900</v>
      </c>
      <c r="Q18" s="3">
        <v>539900</v>
      </c>
      <c r="R18" s="5">
        <v>383.17955997161107</v>
      </c>
      <c r="S18" s="16">
        <v>1400</v>
      </c>
      <c r="T18" s="16">
        <v>1409</v>
      </c>
      <c r="U18" s="1">
        <v>280901.07135338098</v>
      </c>
      <c r="V18" s="6">
        <v>199.3620094772044</v>
      </c>
      <c r="W18" s="23">
        <v>76875</v>
      </c>
      <c r="X18" s="23">
        <v>238247.02673120121</v>
      </c>
      <c r="Y18" s="31">
        <v>315122.02673120121</v>
      </c>
      <c r="Z18" s="24">
        <v>0.58366739531617196</v>
      </c>
      <c r="AA18" s="24">
        <v>0.72499999999999998</v>
      </c>
      <c r="AB18" s="5">
        <v>309223.09999999998</v>
      </c>
      <c r="AC18" s="17">
        <v>44008</v>
      </c>
      <c r="AD18" s="25">
        <v>76875</v>
      </c>
      <c r="AE18" s="25">
        <v>238247.03</v>
      </c>
      <c r="AF18" s="26">
        <v>315122.03000000003</v>
      </c>
      <c r="AG18" s="23">
        <v>0</v>
      </c>
      <c r="AH18" s="23">
        <v>-5898.9300000000512</v>
      </c>
      <c r="AI18" s="27">
        <v>0.97899999999999998</v>
      </c>
      <c r="AJ18" s="23">
        <v>0</v>
      </c>
      <c r="AK18" s="23">
        <v>5898.9224984210059</v>
      </c>
      <c r="AL18" s="23">
        <v>-3.2687988132238388E-3</v>
      </c>
      <c r="AM18" s="2">
        <v>315122.03000000003</v>
      </c>
      <c r="AN18" s="2"/>
      <c r="AO18" s="28">
        <v>315122.03000000003</v>
      </c>
      <c r="AP18" s="18">
        <v>44392</v>
      </c>
      <c r="AQ18" s="18">
        <v>44398</v>
      </c>
      <c r="AR18" s="18">
        <v>44420</v>
      </c>
      <c r="AS18" s="11"/>
      <c r="AT18" s="2">
        <v>519047.61904761905</v>
      </c>
      <c r="AU18" s="2">
        <v>25952.380952380954</v>
      </c>
      <c r="AV18" s="2">
        <v>545000</v>
      </c>
      <c r="AW18" s="2"/>
      <c r="AX18" s="14">
        <v>50000</v>
      </c>
      <c r="AY18" s="29">
        <v>9.1743119266055051E-2</v>
      </c>
      <c r="AZ18" s="11" t="s">
        <v>219</v>
      </c>
      <c r="BA18" s="33">
        <v>1.0094461937395813</v>
      </c>
      <c r="BB18" s="19">
        <v>44305</v>
      </c>
      <c r="BC18" s="11"/>
    </row>
    <row r="19" spans="2:55" x14ac:dyDescent="0.3">
      <c r="B19" s="11" t="s">
        <v>220</v>
      </c>
      <c r="C19" s="12">
        <v>2110528</v>
      </c>
      <c r="D19" s="13">
        <v>2</v>
      </c>
      <c r="E19" s="13">
        <v>5</v>
      </c>
      <c r="F19" s="11" t="s">
        <v>176</v>
      </c>
      <c r="G19" s="11" t="s">
        <v>177</v>
      </c>
      <c r="H19" s="11" t="s">
        <v>195</v>
      </c>
      <c r="I19" s="11" t="s">
        <v>204</v>
      </c>
      <c r="J19" s="4">
        <v>0.5</v>
      </c>
      <c r="K19" s="4">
        <v>0.72499999999999998</v>
      </c>
      <c r="L19" s="4">
        <v>0.625</v>
      </c>
      <c r="M19" s="14">
        <v>232800</v>
      </c>
      <c r="N19" s="15">
        <v>240000</v>
      </c>
      <c r="O19" s="15">
        <v>232800</v>
      </c>
      <c r="P19" s="15">
        <v>705000</v>
      </c>
      <c r="Q19" s="3">
        <v>705000</v>
      </c>
      <c r="R19" s="36">
        <v>306.25543006081671</v>
      </c>
      <c r="S19" s="16">
        <v>4984</v>
      </c>
      <c r="T19" s="16">
        <v>2302</v>
      </c>
      <c r="U19" s="1">
        <v>366900</v>
      </c>
      <c r="V19" s="6">
        <v>159.38314509122503</v>
      </c>
      <c r="W19" s="23">
        <v>116400</v>
      </c>
      <c r="X19" s="23">
        <v>318382.5</v>
      </c>
      <c r="Y19" s="31">
        <v>434782.5</v>
      </c>
      <c r="Z19" s="24">
        <v>0.61671276595744684</v>
      </c>
      <c r="AA19" s="24">
        <v>0.72499999999999998</v>
      </c>
      <c r="AB19" s="5">
        <v>428545.2</v>
      </c>
      <c r="AC19" s="17">
        <v>44314</v>
      </c>
      <c r="AD19" s="1">
        <v>116400</v>
      </c>
      <c r="AE19" s="1">
        <v>318382.49999999994</v>
      </c>
      <c r="AF19" s="26">
        <v>434782.49999999994</v>
      </c>
      <c r="AG19" s="23">
        <v>0</v>
      </c>
      <c r="AH19" s="23">
        <v>-6237.2999999999302</v>
      </c>
      <c r="AI19" s="27">
        <v>0.98299999999999998</v>
      </c>
      <c r="AJ19" s="23">
        <v>0</v>
      </c>
      <c r="AK19" s="23">
        <v>6237.3000000000056</v>
      </c>
      <c r="AL19" s="23">
        <v>0</v>
      </c>
      <c r="AM19" s="2">
        <v>434782.5</v>
      </c>
      <c r="AN19" s="2"/>
      <c r="AO19" s="28">
        <v>434782.5</v>
      </c>
      <c r="AP19" s="18">
        <v>44418</v>
      </c>
      <c r="AQ19" s="18">
        <v>44424</v>
      </c>
      <c r="AR19" s="18">
        <v>44456</v>
      </c>
      <c r="AS19" s="11"/>
      <c r="AT19" s="2">
        <v>723809.52380952379</v>
      </c>
      <c r="AU19" s="2">
        <v>36190.476190476191</v>
      </c>
      <c r="AV19" s="2">
        <v>760000</v>
      </c>
      <c r="AW19" s="2"/>
      <c r="AX19" s="14"/>
      <c r="AY19" s="29"/>
      <c r="AZ19" s="11" t="s">
        <v>221</v>
      </c>
      <c r="BA19" s="33">
        <v>1.0780141843971631</v>
      </c>
      <c r="BB19" s="19">
        <v>44293</v>
      </c>
      <c r="BC19" s="11"/>
    </row>
    <row r="20" spans="2:55" hidden="1" x14ac:dyDescent="0.3">
      <c r="B20" s="11" t="s">
        <v>222</v>
      </c>
      <c r="C20" s="22" t="s">
        <v>181</v>
      </c>
      <c r="D20" s="13">
        <v>2</v>
      </c>
      <c r="E20" s="13">
        <v>24</v>
      </c>
      <c r="F20" s="11" t="s">
        <v>176</v>
      </c>
      <c r="G20" s="11" t="s">
        <v>177</v>
      </c>
      <c r="H20" s="11" t="s">
        <v>178</v>
      </c>
      <c r="I20" s="11" t="s">
        <v>198</v>
      </c>
      <c r="J20" s="4">
        <v>0.6</v>
      </c>
      <c r="K20" s="4">
        <v>0.77500000000000002</v>
      </c>
      <c r="L20" s="4">
        <v>0.67500000000000004</v>
      </c>
      <c r="M20" s="14">
        <v>190000</v>
      </c>
      <c r="N20" s="15">
        <v>135000</v>
      </c>
      <c r="O20" s="15">
        <v>135000</v>
      </c>
      <c r="P20" s="15">
        <v>465000</v>
      </c>
      <c r="Q20" s="3">
        <v>465000</v>
      </c>
      <c r="R20" s="5">
        <v>226.05736509479826</v>
      </c>
      <c r="S20" s="16">
        <v>4542.3657999999996</v>
      </c>
      <c r="T20" s="16">
        <v>2057</v>
      </c>
      <c r="U20" s="1">
        <v>236200</v>
      </c>
      <c r="V20" s="6">
        <v>114.82741857073408</v>
      </c>
      <c r="W20" s="23">
        <v>81000</v>
      </c>
      <c r="X20" s="23">
        <v>232875</v>
      </c>
      <c r="Y20" s="31">
        <v>313875</v>
      </c>
      <c r="Z20" s="24">
        <v>0.67500000000000004</v>
      </c>
      <c r="AA20" s="24">
        <v>0.7364500234631628</v>
      </c>
      <c r="AB20" s="5">
        <v>311985.40000000002</v>
      </c>
      <c r="AC20" s="17">
        <v>44281</v>
      </c>
      <c r="AD20" s="1">
        <v>67500</v>
      </c>
      <c r="AE20" s="1">
        <v>246374.99999999994</v>
      </c>
      <c r="AF20" s="26">
        <v>313874.99999999994</v>
      </c>
      <c r="AG20" s="23">
        <v>0</v>
      </c>
      <c r="AH20" s="23">
        <v>-1889.5999999999185</v>
      </c>
      <c r="AI20" s="27">
        <v>0.99199999999999999</v>
      </c>
      <c r="AJ20" s="23">
        <v>0</v>
      </c>
      <c r="AK20" s="23">
        <v>1889.6000000000017</v>
      </c>
      <c r="AL20" s="23">
        <v>0</v>
      </c>
      <c r="AM20" s="2">
        <v>313875</v>
      </c>
      <c r="AN20" s="2"/>
      <c r="AO20" s="28">
        <v>313875</v>
      </c>
      <c r="AP20" s="18">
        <v>44431</v>
      </c>
      <c r="AQ20" s="18">
        <v>44438</v>
      </c>
      <c r="AR20" s="18">
        <v>44462</v>
      </c>
      <c r="AS20" s="11"/>
      <c r="AT20" s="2">
        <v>466666.66666666663</v>
      </c>
      <c r="AU20" s="2">
        <v>23333.333333333332</v>
      </c>
      <c r="AV20" s="2">
        <v>490000</v>
      </c>
      <c r="AW20" s="2"/>
      <c r="AX20" s="14">
        <v>10000</v>
      </c>
      <c r="AY20" s="29">
        <v>2.0408163265306121E-2</v>
      </c>
      <c r="AZ20" s="11" t="s">
        <v>223</v>
      </c>
      <c r="BA20" s="33">
        <v>1.053763440860215</v>
      </c>
      <c r="BB20" s="19">
        <v>44285</v>
      </c>
      <c r="BC20" s="11" t="s">
        <v>224</v>
      </c>
    </row>
    <row r="21" spans="2:55" hidden="1" x14ac:dyDescent="0.3">
      <c r="B21" s="11" t="s">
        <v>225</v>
      </c>
      <c r="C21" s="22" t="s">
        <v>181</v>
      </c>
      <c r="D21" s="13">
        <v>2</v>
      </c>
      <c r="E21" s="13">
        <v>25</v>
      </c>
      <c r="F21" s="11" t="s">
        <v>176</v>
      </c>
      <c r="G21" s="11" t="s">
        <v>177</v>
      </c>
      <c r="H21" s="11" t="s">
        <v>178</v>
      </c>
      <c r="I21" s="11" t="s">
        <v>198</v>
      </c>
      <c r="J21" s="4">
        <v>0.6</v>
      </c>
      <c r="K21" s="4">
        <v>0.77500000000000002</v>
      </c>
      <c r="L21" s="4">
        <v>0.67500000000000004</v>
      </c>
      <c r="M21" s="14">
        <v>190000</v>
      </c>
      <c r="N21" s="15">
        <v>140000</v>
      </c>
      <c r="O21" s="15">
        <v>140000</v>
      </c>
      <c r="P21" s="15">
        <v>485000</v>
      </c>
      <c r="Q21" s="3">
        <v>479900.4</v>
      </c>
      <c r="R21" s="5">
        <v>221.56066481994461</v>
      </c>
      <c r="S21" s="16">
        <v>6286.1175999999996</v>
      </c>
      <c r="T21" s="16">
        <v>2166</v>
      </c>
      <c r="U21" s="1">
        <v>242500</v>
      </c>
      <c r="V21" s="6">
        <v>111.95752539242844</v>
      </c>
      <c r="W21" s="23">
        <v>84000</v>
      </c>
      <c r="X21" s="23">
        <v>239932.77000000002</v>
      </c>
      <c r="Y21" s="31">
        <v>323932.77</v>
      </c>
      <c r="Z21" s="24">
        <v>0.67500000000000004</v>
      </c>
      <c r="AA21" s="24">
        <v>0.74897750289017351</v>
      </c>
      <c r="AB21" s="5">
        <v>321750.27</v>
      </c>
      <c r="AC21" s="17">
        <v>44281</v>
      </c>
      <c r="AD21" s="1">
        <v>84000</v>
      </c>
      <c r="AE21" s="1">
        <v>239932.77</v>
      </c>
      <c r="AF21" s="26">
        <v>323932.77</v>
      </c>
      <c r="AG21" s="23">
        <v>0</v>
      </c>
      <c r="AH21" s="23">
        <v>-2182.5</v>
      </c>
      <c r="AI21" s="27">
        <v>0.99099999999999999</v>
      </c>
      <c r="AJ21" s="23">
        <v>0</v>
      </c>
      <c r="AK21" s="23">
        <v>2182.5000000000018</v>
      </c>
      <c r="AL21" s="23">
        <v>0</v>
      </c>
      <c r="AM21" s="2">
        <v>323932.77</v>
      </c>
      <c r="AN21" s="2"/>
      <c r="AO21" s="28">
        <v>323932.77</v>
      </c>
      <c r="AP21" s="18">
        <v>44431</v>
      </c>
      <c r="AQ21" s="18">
        <v>44435</v>
      </c>
      <c r="AR21" s="18">
        <v>44462</v>
      </c>
      <c r="AS21" s="11"/>
      <c r="AT21" s="2">
        <v>457048</v>
      </c>
      <c r="AU21" s="2">
        <v>22852.400000000001</v>
      </c>
      <c r="AV21" s="2">
        <v>479900.4</v>
      </c>
      <c r="AW21" s="2"/>
      <c r="AX21" s="14">
        <v>25750</v>
      </c>
      <c r="AY21" s="29">
        <v>5.3656967154017791E-2</v>
      </c>
      <c r="AZ21" s="11" t="s">
        <v>226</v>
      </c>
      <c r="BA21" s="33">
        <v>0.98948536082474237</v>
      </c>
      <c r="BB21" s="19">
        <v>44048</v>
      </c>
      <c r="BC21" s="36"/>
    </row>
    <row r="22" spans="2:55" hidden="1" x14ac:dyDescent="0.3">
      <c r="B22" s="11" t="s">
        <v>227</v>
      </c>
      <c r="C22" s="22" t="s">
        <v>181</v>
      </c>
      <c r="D22" s="13">
        <v>2</v>
      </c>
      <c r="E22" s="13">
        <v>3</v>
      </c>
      <c r="F22" s="11" t="s">
        <v>176</v>
      </c>
      <c r="G22" s="11" t="s">
        <v>177</v>
      </c>
      <c r="H22" s="11" t="s">
        <v>178</v>
      </c>
      <c r="I22" s="11" t="s">
        <v>198</v>
      </c>
      <c r="J22" s="4">
        <v>0.6</v>
      </c>
      <c r="K22" s="4">
        <v>0.77500000000000002</v>
      </c>
      <c r="L22" s="4">
        <v>0.67500000000000004</v>
      </c>
      <c r="M22" s="14">
        <v>205234</v>
      </c>
      <c r="N22" s="15">
        <v>192000</v>
      </c>
      <c r="O22" s="15">
        <v>192000</v>
      </c>
      <c r="P22" s="15">
        <v>577000</v>
      </c>
      <c r="Q22" s="3">
        <v>577000</v>
      </c>
      <c r="R22" s="5">
        <v>288.93340010015021</v>
      </c>
      <c r="S22" s="16">
        <v>4898</v>
      </c>
      <c r="T22" s="16">
        <v>1997</v>
      </c>
      <c r="U22" s="1">
        <v>282100</v>
      </c>
      <c r="V22" s="6">
        <v>141.26189283925888</v>
      </c>
      <c r="W22" s="23">
        <v>115200</v>
      </c>
      <c r="X22" s="23">
        <v>262483.85000000003</v>
      </c>
      <c r="Y22" s="31">
        <v>377683.85000000003</v>
      </c>
      <c r="Z22" s="24">
        <v>0.65456473136915083</v>
      </c>
      <c r="AA22" s="24">
        <v>0.77500000000000002</v>
      </c>
      <c r="AB22" s="5">
        <v>376273.35</v>
      </c>
      <c r="AC22" s="17">
        <v>44281</v>
      </c>
      <c r="AD22" s="1">
        <v>115200</v>
      </c>
      <c r="AE22" s="1">
        <v>262483.85000000003</v>
      </c>
      <c r="AF22" s="26">
        <v>377683.85000000003</v>
      </c>
      <c r="AG22" s="23">
        <v>0</v>
      </c>
      <c r="AH22" s="23">
        <v>-1410.5000000000582</v>
      </c>
      <c r="AI22" s="27">
        <v>0.995</v>
      </c>
      <c r="AJ22" s="23">
        <v>0</v>
      </c>
      <c r="AK22" s="23">
        <v>1410.5000000000014</v>
      </c>
      <c r="AL22" s="23">
        <v>0</v>
      </c>
      <c r="AM22" s="2">
        <v>377683.85</v>
      </c>
      <c r="AN22" s="2"/>
      <c r="AO22" s="28">
        <v>377683.85</v>
      </c>
      <c r="AP22" s="18">
        <v>44447</v>
      </c>
      <c r="AQ22" s="18">
        <v>44452</v>
      </c>
      <c r="AR22" s="18">
        <v>44477</v>
      </c>
      <c r="AS22" s="11"/>
      <c r="AT22" s="2">
        <v>549523.80000000005</v>
      </c>
      <c r="AU22" s="2">
        <v>27476.2</v>
      </c>
      <c r="AV22" s="2">
        <v>577000</v>
      </c>
      <c r="AW22" s="2"/>
      <c r="AX22" s="14">
        <v>40000</v>
      </c>
      <c r="AY22" s="29">
        <v>6.9324090121317156E-2</v>
      </c>
      <c r="AZ22" s="11" t="s">
        <v>228</v>
      </c>
      <c r="BA22" s="33">
        <v>1</v>
      </c>
      <c r="BB22" s="19">
        <v>44164</v>
      </c>
      <c r="BC22" s="11"/>
    </row>
    <row r="23" spans="2:55" x14ac:dyDescent="0.3">
      <c r="B23" s="11" t="s">
        <v>229</v>
      </c>
      <c r="C23" s="12">
        <v>2110528</v>
      </c>
      <c r="D23" s="13">
        <v>2</v>
      </c>
      <c r="E23" s="13">
        <v>4</v>
      </c>
      <c r="F23" s="11" t="s">
        <v>176</v>
      </c>
      <c r="G23" s="11" t="s">
        <v>177</v>
      </c>
      <c r="H23" s="11" t="s">
        <v>178</v>
      </c>
      <c r="I23" s="11" t="s">
        <v>198</v>
      </c>
      <c r="J23" s="4">
        <v>0.6</v>
      </c>
      <c r="K23" s="4">
        <v>0.77500000000000002</v>
      </c>
      <c r="L23" s="4">
        <v>0.67500000000000004</v>
      </c>
      <c r="M23" s="14">
        <v>232800</v>
      </c>
      <c r="N23" s="15">
        <v>240000</v>
      </c>
      <c r="O23" s="15">
        <v>232800</v>
      </c>
      <c r="P23" s="15">
        <v>890000</v>
      </c>
      <c r="Q23" s="3">
        <v>890000</v>
      </c>
      <c r="R23" s="5">
        <v>286.35778635778638</v>
      </c>
      <c r="S23" s="16">
        <v>5414</v>
      </c>
      <c r="T23" s="16">
        <v>3108</v>
      </c>
      <c r="U23" s="1">
        <v>521400</v>
      </c>
      <c r="V23" s="6">
        <v>167.76061776061775</v>
      </c>
      <c r="W23" s="23">
        <v>139680</v>
      </c>
      <c r="X23" s="37">
        <v>400320</v>
      </c>
      <c r="Y23" s="31">
        <v>540000</v>
      </c>
      <c r="Z23" s="24">
        <v>0.6067415730337079</v>
      </c>
      <c r="AA23" s="24">
        <v>0.71599045346062051</v>
      </c>
      <c r="AB23" s="5">
        <v>515494.2</v>
      </c>
      <c r="AC23" s="17">
        <v>44314</v>
      </c>
      <c r="AD23" s="1">
        <v>139680</v>
      </c>
      <c r="AE23" s="1">
        <v>375814.19999999995</v>
      </c>
      <c r="AF23" s="26">
        <v>515494.19999999995</v>
      </c>
      <c r="AG23" s="23">
        <v>0</v>
      </c>
      <c r="AH23" s="23">
        <v>0</v>
      </c>
      <c r="AI23" s="27">
        <v>0.95299999999999996</v>
      </c>
      <c r="AJ23" s="23">
        <v>0</v>
      </c>
      <c r="AK23" s="23">
        <v>24505.800000000021</v>
      </c>
      <c r="AL23" s="23">
        <v>24505.800000000047</v>
      </c>
      <c r="AM23" s="2">
        <v>515494.2</v>
      </c>
      <c r="AN23" s="2"/>
      <c r="AO23" s="28">
        <v>515494.2</v>
      </c>
      <c r="AP23" s="18">
        <v>44469</v>
      </c>
      <c r="AQ23" s="18">
        <v>44473</v>
      </c>
      <c r="AR23" s="18">
        <v>44491</v>
      </c>
      <c r="AS23" s="11"/>
      <c r="AT23" s="2">
        <v>850476.19047619042</v>
      </c>
      <c r="AU23" s="2">
        <v>42523.809523809585</v>
      </c>
      <c r="AV23" s="2">
        <v>893000</v>
      </c>
      <c r="AW23" s="2"/>
      <c r="AX23" s="14">
        <v>177000</v>
      </c>
      <c r="AY23" s="29">
        <v>0.19820828667413215</v>
      </c>
      <c r="AZ23" s="11" t="s">
        <v>230</v>
      </c>
      <c r="BA23" s="33">
        <v>1.003370786516854</v>
      </c>
      <c r="BB23" s="19">
        <v>44063</v>
      </c>
      <c r="BC23" s="11"/>
    </row>
    <row r="24" spans="2:55" x14ac:dyDescent="0.3">
      <c r="B24" s="11" t="s">
        <v>231</v>
      </c>
      <c r="C24" s="12">
        <v>2110528</v>
      </c>
      <c r="D24" s="13">
        <v>6</v>
      </c>
      <c r="E24" s="13">
        <v>19</v>
      </c>
      <c r="F24" s="11" t="s">
        <v>176</v>
      </c>
      <c r="G24" s="11" t="s">
        <v>177</v>
      </c>
      <c r="H24" s="11" t="s">
        <v>178</v>
      </c>
      <c r="I24" s="11" t="s">
        <v>198</v>
      </c>
      <c r="J24" s="4">
        <v>0.6</v>
      </c>
      <c r="K24" s="4">
        <v>0.77500000000000002</v>
      </c>
      <c r="L24" s="4">
        <v>0.67500000000000004</v>
      </c>
      <c r="M24" s="14">
        <v>191250</v>
      </c>
      <c r="N24" s="15">
        <v>185000</v>
      </c>
      <c r="O24" s="15">
        <v>185000</v>
      </c>
      <c r="P24" s="15">
        <v>550000</v>
      </c>
      <c r="Q24" s="3">
        <v>550000</v>
      </c>
      <c r="R24" s="5">
        <v>258.70178739416747</v>
      </c>
      <c r="S24" s="16">
        <v>5185</v>
      </c>
      <c r="T24" s="16">
        <v>2126</v>
      </c>
      <c r="U24" s="1">
        <v>355400</v>
      </c>
      <c r="V24" s="6">
        <v>167.16839134524929</v>
      </c>
      <c r="W24" s="23">
        <v>111000</v>
      </c>
      <c r="X24" s="23">
        <v>260250</v>
      </c>
      <c r="Y24" s="31">
        <v>371250</v>
      </c>
      <c r="Z24" s="24">
        <v>0.67500000000000004</v>
      </c>
      <c r="AA24" s="24">
        <v>0.67913655904143422</v>
      </c>
      <c r="AB24" s="5">
        <v>329668.2</v>
      </c>
      <c r="AC24" s="17">
        <v>44314</v>
      </c>
      <c r="AD24" s="1">
        <v>111000</v>
      </c>
      <c r="AE24" s="1">
        <v>218668.2</v>
      </c>
      <c r="AF24" s="26">
        <v>329668.2</v>
      </c>
      <c r="AG24" s="23">
        <v>0</v>
      </c>
      <c r="AH24" s="23">
        <v>0</v>
      </c>
      <c r="AI24" s="27">
        <v>0.88300000000000001</v>
      </c>
      <c r="AJ24" s="23">
        <v>0</v>
      </c>
      <c r="AK24" s="23">
        <v>41581.799999999996</v>
      </c>
      <c r="AL24" s="23">
        <v>41581.799999999988</v>
      </c>
      <c r="AM24" s="2">
        <v>329668.2</v>
      </c>
      <c r="AN24" s="2"/>
      <c r="AO24" s="28">
        <v>329668.2</v>
      </c>
      <c r="AP24" s="18">
        <v>44477</v>
      </c>
      <c r="AQ24" s="18">
        <v>44484</v>
      </c>
      <c r="AR24" s="18">
        <v>44519</v>
      </c>
      <c r="AS24" s="11"/>
      <c r="AT24" s="2">
        <v>571955.43809523806</v>
      </c>
      <c r="AU24" s="2">
        <v>28597.771904761903</v>
      </c>
      <c r="AV24" s="2">
        <v>600553.21</v>
      </c>
      <c r="AW24" s="2"/>
      <c r="AX24" s="14">
        <v>33500</v>
      </c>
      <c r="AY24" s="29">
        <v>5.5781901490460771E-2</v>
      </c>
      <c r="AZ24" s="11" t="s">
        <v>232</v>
      </c>
      <c r="BA24" s="33">
        <v>1.0919149272727271</v>
      </c>
      <c r="BB24" s="19">
        <v>44023</v>
      </c>
      <c r="BC24" s="11" t="s">
        <v>233</v>
      </c>
    </row>
    <row r="25" spans="2:55" x14ac:dyDescent="0.3">
      <c r="B25" s="11" t="s">
        <v>234</v>
      </c>
      <c r="C25" s="12">
        <v>2110528</v>
      </c>
      <c r="D25" s="13">
        <v>2</v>
      </c>
      <c r="E25" s="13">
        <v>18</v>
      </c>
      <c r="F25" s="11" t="s">
        <v>176</v>
      </c>
      <c r="G25" s="11" t="s">
        <v>177</v>
      </c>
      <c r="H25" s="11" t="s">
        <v>178</v>
      </c>
      <c r="I25" s="11" t="s">
        <v>198</v>
      </c>
      <c r="J25" s="4">
        <v>0.6</v>
      </c>
      <c r="K25" s="4">
        <v>0.77500000000000002</v>
      </c>
      <c r="L25" s="4">
        <v>0.67500000000000004</v>
      </c>
      <c r="M25" s="14">
        <v>218250</v>
      </c>
      <c r="N25" s="15">
        <v>200000</v>
      </c>
      <c r="O25" s="15">
        <v>200000</v>
      </c>
      <c r="P25" s="15">
        <v>820000</v>
      </c>
      <c r="Q25" s="3">
        <v>820000</v>
      </c>
      <c r="R25" s="5">
        <v>304.4931303379131</v>
      </c>
      <c r="S25" s="16">
        <v>4886.8105999999998</v>
      </c>
      <c r="T25" s="16">
        <v>2693</v>
      </c>
      <c r="U25" s="1">
        <v>467400</v>
      </c>
      <c r="V25" s="6">
        <v>173.56108429261047</v>
      </c>
      <c r="W25" s="23">
        <v>120000</v>
      </c>
      <c r="X25" s="23">
        <v>411378.75</v>
      </c>
      <c r="Y25" s="31">
        <v>531378.75</v>
      </c>
      <c r="Z25" s="24">
        <v>0.64802286585365854</v>
      </c>
      <c r="AA25" s="24">
        <v>0.77500000000000002</v>
      </c>
      <c r="AB25" s="5">
        <v>489312.75</v>
      </c>
      <c r="AC25" s="17">
        <v>44421</v>
      </c>
      <c r="AD25" s="1">
        <v>120000</v>
      </c>
      <c r="AE25" s="1">
        <v>369312.75</v>
      </c>
      <c r="AF25" s="26">
        <v>489312.75</v>
      </c>
      <c r="AG25" s="23">
        <v>0</v>
      </c>
      <c r="AH25" s="23">
        <v>0</v>
      </c>
      <c r="AI25" s="27">
        <v>0.91</v>
      </c>
      <c r="AJ25" s="23">
        <v>0</v>
      </c>
      <c r="AK25" s="23">
        <v>42065.999999999985</v>
      </c>
      <c r="AL25" s="23">
        <v>42066</v>
      </c>
      <c r="AM25" s="2">
        <v>489312.75</v>
      </c>
      <c r="AN25" s="2"/>
      <c r="AO25" s="28">
        <v>489312.75</v>
      </c>
      <c r="AP25" s="18">
        <v>44511</v>
      </c>
      <c r="AQ25" s="18">
        <v>44523</v>
      </c>
      <c r="AR25" s="18">
        <v>44553</v>
      </c>
      <c r="AS25" s="11"/>
      <c r="AT25" s="2">
        <v>780952.38095238095</v>
      </c>
      <c r="AU25" s="2">
        <v>39047.619047619046</v>
      </c>
      <c r="AV25" s="2">
        <v>820000</v>
      </c>
      <c r="AW25" s="2"/>
      <c r="AX25" s="14">
        <v>82000</v>
      </c>
      <c r="AY25" s="29">
        <v>0.1</v>
      </c>
      <c r="AZ25" s="11" t="s">
        <v>235</v>
      </c>
      <c r="BA25" s="33">
        <v>1</v>
      </c>
      <c r="BB25" s="19">
        <v>44209</v>
      </c>
      <c r="BC25" s="11"/>
    </row>
    <row r="26" spans="2:55" hidden="1" x14ac:dyDescent="0.3">
      <c r="B26" s="11" t="s">
        <v>236</v>
      </c>
      <c r="C26" s="12" t="s">
        <v>181</v>
      </c>
      <c r="D26" s="13">
        <v>1</v>
      </c>
      <c r="E26" s="13">
        <v>1</v>
      </c>
      <c r="F26" s="11" t="s">
        <v>176</v>
      </c>
      <c r="G26" s="11" t="s">
        <v>177</v>
      </c>
      <c r="H26" s="11" t="s">
        <v>178</v>
      </c>
      <c r="I26" s="11" t="s">
        <v>198</v>
      </c>
      <c r="J26" s="4">
        <v>0.6</v>
      </c>
      <c r="K26" s="4">
        <v>0.77500000000000002</v>
      </c>
      <c r="L26" s="4">
        <v>0.67500000000000004</v>
      </c>
      <c r="M26" s="14">
        <v>204077</v>
      </c>
      <c r="N26" s="15">
        <v>200000</v>
      </c>
      <c r="O26" s="15">
        <v>200000</v>
      </c>
      <c r="P26" s="15">
        <v>715000</v>
      </c>
      <c r="Q26" s="3">
        <v>713102.25</v>
      </c>
      <c r="R26" s="5">
        <v>271.65800000000002</v>
      </c>
      <c r="S26" s="16">
        <v>5259</v>
      </c>
      <c r="T26" s="16">
        <v>2625</v>
      </c>
      <c r="U26" s="1">
        <v>380400</v>
      </c>
      <c r="V26" s="6">
        <v>144.91428571428571</v>
      </c>
      <c r="W26" s="23">
        <v>120000</v>
      </c>
      <c r="X26" s="23">
        <v>332969.67499999999</v>
      </c>
      <c r="Y26" s="31">
        <v>452969.67499999999</v>
      </c>
      <c r="Z26" s="24">
        <v>0.6352099926763658</v>
      </c>
      <c r="AA26" s="24">
        <v>0.77500000000000002</v>
      </c>
      <c r="AB26" s="5">
        <v>389062.48</v>
      </c>
      <c r="AC26" s="17">
        <v>44314</v>
      </c>
      <c r="AD26" s="1">
        <v>120000</v>
      </c>
      <c r="AE26" s="1">
        <v>269062.48</v>
      </c>
      <c r="AF26" s="26">
        <v>389062.48</v>
      </c>
      <c r="AG26" s="23">
        <v>0</v>
      </c>
      <c r="AH26" s="23">
        <v>0</v>
      </c>
      <c r="AI26" s="27">
        <v>0.83199999999999996</v>
      </c>
      <c r="AJ26" s="23">
        <v>0</v>
      </c>
      <c r="AK26" s="23">
        <v>63907.200000000012</v>
      </c>
      <c r="AL26" s="23">
        <v>63907.195000000007</v>
      </c>
      <c r="AM26" s="2">
        <v>389062.48</v>
      </c>
      <c r="AN26" s="2"/>
      <c r="AO26" s="28">
        <v>389062.48</v>
      </c>
      <c r="AP26" s="18">
        <v>44529</v>
      </c>
      <c r="AQ26" s="18">
        <v>44547</v>
      </c>
      <c r="AR26" s="18">
        <v>44210</v>
      </c>
      <c r="AS26" s="11"/>
      <c r="AT26" s="2">
        <v>679145</v>
      </c>
      <c r="AU26" s="2">
        <v>33957.25</v>
      </c>
      <c r="AV26" s="2">
        <v>713102.25</v>
      </c>
      <c r="AW26" s="2"/>
      <c r="AX26" s="14">
        <v>67000</v>
      </c>
      <c r="AY26" s="29">
        <v>9.3955670452589374E-2</v>
      </c>
      <c r="AZ26" s="11" t="s">
        <v>237</v>
      </c>
      <c r="BA26" s="33">
        <v>0.99734580419580421</v>
      </c>
      <c r="BB26" s="19">
        <v>44140</v>
      </c>
      <c r="BC26" s="11"/>
    </row>
    <row r="27" spans="2:55" hidden="1" x14ac:dyDescent="0.3">
      <c r="B27" s="11" t="s">
        <v>238</v>
      </c>
      <c r="C27" s="12">
        <v>2011558</v>
      </c>
      <c r="D27" s="13">
        <v>2</v>
      </c>
      <c r="E27" s="13">
        <v>2</v>
      </c>
      <c r="F27" s="11" t="s">
        <v>239</v>
      </c>
      <c r="G27" s="11" t="s">
        <v>177</v>
      </c>
      <c r="H27" s="11" t="s">
        <v>195</v>
      </c>
      <c r="I27" s="11" t="s">
        <v>204</v>
      </c>
      <c r="J27" s="4">
        <v>0.5</v>
      </c>
      <c r="K27" s="4">
        <v>0.7</v>
      </c>
      <c r="L27" s="4">
        <v>0.6</v>
      </c>
      <c r="M27" s="14">
        <v>170000</v>
      </c>
      <c r="N27" s="15">
        <v>165000</v>
      </c>
      <c r="O27" s="15">
        <v>165000</v>
      </c>
      <c r="P27" s="15">
        <v>675000</v>
      </c>
      <c r="Q27" s="3">
        <v>675000</v>
      </c>
      <c r="R27" s="5">
        <v>373.13432835820896</v>
      </c>
      <c r="S27" s="16">
        <v>8385</v>
      </c>
      <c r="T27" s="16">
        <v>1809</v>
      </c>
      <c r="U27" s="1">
        <v>433100</v>
      </c>
      <c r="V27" s="6">
        <v>239.41404090657821</v>
      </c>
      <c r="W27" s="23">
        <v>82500</v>
      </c>
      <c r="X27" s="23">
        <v>277500</v>
      </c>
      <c r="Y27" s="31">
        <v>360000</v>
      </c>
      <c r="Z27" s="24">
        <v>0.53333333333333333</v>
      </c>
      <c r="AA27" s="24">
        <v>0.59691593433924717</v>
      </c>
      <c r="AB27" s="5">
        <v>337045.7</v>
      </c>
      <c r="AC27" s="17">
        <v>44154</v>
      </c>
      <c r="AD27" s="1">
        <v>82500</v>
      </c>
      <c r="AE27" s="1">
        <v>239545.7</v>
      </c>
      <c r="AF27" s="26">
        <v>322045.7</v>
      </c>
      <c r="AG27" s="23">
        <v>0</v>
      </c>
      <c r="AH27" s="23">
        <v>15000</v>
      </c>
      <c r="AI27" s="27">
        <v>0.94699999999999995</v>
      </c>
      <c r="AJ27" s="23">
        <v>0</v>
      </c>
      <c r="AK27" s="23">
        <v>22954.300000000021</v>
      </c>
      <c r="AL27" s="23">
        <v>37954.299999999988</v>
      </c>
      <c r="AM27" s="2">
        <v>322045.7</v>
      </c>
      <c r="AN27" s="2"/>
      <c r="AO27" s="28">
        <v>0</v>
      </c>
      <c r="AP27" s="18">
        <v>44545</v>
      </c>
      <c r="AQ27" s="18">
        <v>44550</v>
      </c>
      <c r="AR27" s="18">
        <v>44210</v>
      </c>
      <c r="AS27" s="11"/>
      <c r="AT27" s="2">
        <v>785677.38095238095</v>
      </c>
      <c r="AU27" s="2">
        <v>39283.869047619046</v>
      </c>
      <c r="AV27" s="2">
        <v>824961.25</v>
      </c>
      <c r="AW27" s="2"/>
      <c r="AX27" s="14">
        <v>82496.25</v>
      </c>
      <c r="AY27" s="29">
        <v>0.10000015152226847</v>
      </c>
      <c r="AZ27" s="11" t="s">
        <v>240</v>
      </c>
      <c r="BA27" s="33">
        <v>1.2221648148148148</v>
      </c>
      <c r="BB27" s="19">
        <v>44524</v>
      </c>
      <c r="BC27" s="11"/>
    </row>
    <row r="28" spans="2:55" x14ac:dyDescent="0.3">
      <c r="B28" s="11" t="s">
        <v>241</v>
      </c>
      <c r="C28" s="12">
        <v>2110528</v>
      </c>
      <c r="D28" s="13">
        <v>2</v>
      </c>
      <c r="E28" s="13">
        <v>22</v>
      </c>
      <c r="F28" s="11" t="s">
        <v>176</v>
      </c>
      <c r="G28" s="11" t="s">
        <v>177</v>
      </c>
      <c r="H28" s="11" t="s">
        <v>178</v>
      </c>
      <c r="I28" s="11" t="s">
        <v>198</v>
      </c>
      <c r="J28" s="4">
        <v>0.6</v>
      </c>
      <c r="K28" s="4">
        <v>0.77500000000000002</v>
      </c>
      <c r="L28" s="4">
        <v>0.67500000000000004</v>
      </c>
      <c r="M28" s="14">
        <v>223100</v>
      </c>
      <c r="N28" s="15">
        <v>200000</v>
      </c>
      <c r="O28" s="15">
        <v>200000</v>
      </c>
      <c r="P28" s="15">
        <v>765000</v>
      </c>
      <c r="Q28" s="3">
        <v>765000</v>
      </c>
      <c r="R28" s="5">
        <v>274.7844827586207</v>
      </c>
      <c r="S28" s="16">
        <v>4980.0259740000001</v>
      </c>
      <c r="T28" s="16">
        <v>2784</v>
      </c>
      <c r="U28" s="1">
        <v>442900</v>
      </c>
      <c r="V28" s="6">
        <v>159.08764367816093</v>
      </c>
      <c r="W28" s="23">
        <v>120000</v>
      </c>
      <c r="X28" s="23">
        <v>396150</v>
      </c>
      <c r="Y28" s="31">
        <v>516150</v>
      </c>
      <c r="Z28" s="24">
        <v>0.67470588235294116</v>
      </c>
      <c r="AA28" s="24">
        <v>0.77500000000000002</v>
      </c>
      <c r="AB28" s="5">
        <v>494005</v>
      </c>
      <c r="AC28" s="17">
        <v>44421</v>
      </c>
      <c r="AD28" s="1">
        <v>120000</v>
      </c>
      <c r="AE28" s="1">
        <v>396150</v>
      </c>
      <c r="AF28" s="26">
        <v>516150</v>
      </c>
      <c r="AG28" s="23">
        <v>0</v>
      </c>
      <c r="AH28" s="23">
        <v>-22145</v>
      </c>
      <c r="AI28" s="27">
        <v>0.95</v>
      </c>
      <c r="AJ28" s="23">
        <v>0</v>
      </c>
      <c r="AK28" s="23">
        <v>22145.000000000018</v>
      </c>
      <c r="AL28" s="23">
        <v>0</v>
      </c>
      <c r="AM28" s="2">
        <v>516150</v>
      </c>
      <c r="AN28" s="2"/>
      <c r="AO28" s="28">
        <v>516150</v>
      </c>
      <c r="AP28" s="18">
        <v>44587</v>
      </c>
      <c r="AQ28" s="18">
        <v>44606</v>
      </c>
      <c r="AR28" s="18">
        <v>44631</v>
      </c>
      <c r="AS28" s="11"/>
      <c r="AT28" s="2">
        <v>728571.42857142852</v>
      </c>
      <c r="AU28" s="2">
        <v>36428.571428571428</v>
      </c>
      <c r="AV28" s="2">
        <v>765000</v>
      </c>
      <c r="AW28" s="2"/>
      <c r="AX28" s="14">
        <v>88000</v>
      </c>
      <c r="AY28" s="29">
        <v>0.11503267973856209</v>
      </c>
      <c r="AZ28" s="11" t="s">
        <v>242</v>
      </c>
      <c r="BA28" s="33">
        <v>1</v>
      </c>
      <c r="BB28" s="19">
        <v>43869</v>
      </c>
      <c r="BC28" s="11"/>
    </row>
    <row r="29" spans="2:55" hidden="1" x14ac:dyDescent="0.3">
      <c r="B29" s="11" t="s">
        <v>243</v>
      </c>
      <c r="C29" s="12" t="s">
        <v>244</v>
      </c>
      <c r="D29" s="13">
        <v>1</v>
      </c>
      <c r="E29" s="13">
        <v>43</v>
      </c>
      <c r="F29" s="11" t="s">
        <v>239</v>
      </c>
      <c r="G29" s="11" t="s">
        <v>177</v>
      </c>
      <c r="H29" s="11" t="s">
        <v>178</v>
      </c>
      <c r="I29" s="11" t="s">
        <v>198</v>
      </c>
      <c r="J29" s="4">
        <v>0.5</v>
      </c>
      <c r="K29" s="4">
        <v>0.75</v>
      </c>
      <c r="L29" s="4">
        <v>0.65</v>
      </c>
      <c r="M29" s="14">
        <v>184000</v>
      </c>
      <c r="N29" s="15">
        <v>185000</v>
      </c>
      <c r="O29" s="15">
        <v>184000</v>
      </c>
      <c r="P29" s="15">
        <v>660000</v>
      </c>
      <c r="Q29" s="3">
        <v>657000</v>
      </c>
      <c r="R29" s="5">
        <v>310.78524124881739</v>
      </c>
      <c r="S29" s="16">
        <v>8955</v>
      </c>
      <c r="T29" s="16">
        <v>2114</v>
      </c>
      <c r="U29" s="1">
        <v>405900</v>
      </c>
      <c r="V29" s="6">
        <v>192.00567644276254</v>
      </c>
      <c r="W29" s="23">
        <v>92000</v>
      </c>
      <c r="X29" s="23">
        <v>335050</v>
      </c>
      <c r="Y29" s="31">
        <v>427050</v>
      </c>
      <c r="Z29" s="24">
        <v>0.65</v>
      </c>
      <c r="AA29" s="24">
        <v>0.72393626038311576</v>
      </c>
      <c r="AB29" s="5">
        <v>220852.8</v>
      </c>
      <c r="AC29" s="17">
        <v>44470</v>
      </c>
      <c r="AD29" s="1">
        <v>92000</v>
      </c>
      <c r="AE29" s="1">
        <v>128852.80000000002</v>
      </c>
      <c r="AF29" s="26">
        <v>220852.80000000002</v>
      </c>
      <c r="AG29" s="23">
        <v>0</v>
      </c>
      <c r="AH29" s="23">
        <v>0</v>
      </c>
      <c r="AI29" s="27">
        <v>0.49199999999999999</v>
      </c>
      <c r="AJ29" s="23">
        <v>0</v>
      </c>
      <c r="AK29" s="23">
        <v>206197.2</v>
      </c>
      <c r="AL29" s="23">
        <v>206197.19999999998</v>
      </c>
      <c r="AM29" s="2">
        <v>220852.8</v>
      </c>
      <c r="AN29" s="2"/>
      <c r="AO29" s="28">
        <v>220852.8</v>
      </c>
      <c r="AP29" s="18">
        <v>44602</v>
      </c>
      <c r="AQ29" s="18">
        <v>44614</v>
      </c>
      <c r="AR29" s="18">
        <v>44638</v>
      </c>
      <c r="AS29" s="11"/>
      <c r="AT29" s="2">
        <v>625714.28571428568</v>
      </c>
      <c r="AU29" s="2">
        <v>31285.714285714319</v>
      </c>
      <c r="AV29" s="2">
        <v>657000</v>
      </c>
      <c r="AW29" s="2">
        <v>6938.62</v>
      </c>
      <c r="AX29" s="14">
        <v>37500</v>
      </c>
      <c r="AY29" s="29">
        <v>5.7077625570776253E-2</v>
      </c>
      <c r="AZ29" s="11" t="s">
        <v>245</v>
      </c>
      <c r="BA29" s="33">
        <v>0.99545454545454548</v>
      </c>
      <c r="BB29" s="19">
        <v>44229</v>
      </c>
      <c r="BC29" s="11" t="s">
        <v>233</v>
      </c>
    </row>
    <row r="30" spans="2:55" x14ac:dyDescent="0.3">
      <c r="B30" s="11" t="s">
        <v>246</v>
      </c>
      <c r="C30" s="12">
        <v>2110528</v>
      </c>
      <c r="D30" s="13">
        <v>2</v>
      </c>
      <c r="E30" s="13">
        <v>24</v>
      </c>
      <c r="F30" s="11" t="s">
        <v>176</v>
      </c>
      <c r="G30" s="11" t="s">
        <v>177</v>
      </c>
      <c r="H30" s="11" t="s">
        <v>178</v>
      </c>
      <c r="I30" s="11" t="s">
        <v>198</v>
      </c>
      <c r="J30" s="4">
        <v>0.6</v>
      </c>
      <c r="K30" s="4">
        <v>0.77500000000000002</v>
      </c>
      <c r="L30" s="4">
        <v>0.67500000000000004</v>
      </c>
      <c r="M30" s="14">
        <v>223100</v>
      </c>
      <c r="N30" s="15">
        <v>200000</v>
      </c>
      <c r="O30" s="15">
        <v>200000</v>
      </c>
      <c r="P30" s="15">
        <v>770000</v>
      </c>
      <c r="Q30" s="3">
        <v>765000</v>
      </c>
      <c r="R30" s="5">
        <v>271.85501066098084</v>
      </c>
      <c r="S30" s="16">
        <v>4980.0259740000001</v>
      </c>
      <c r="T30" s="16">
        <v>2814</v>
      </c>
      <c r="U30" s="1">
        <v>449900</v>
      </c>
      <c r="V30" s="6">
        <v>159.87917555081734</v>
      </c>
      <c r="W30" s="23">
        <v>120000</v>
      </c>
      <c r="X30" s="23">
        <v>396375.00000000006</v>
      </c>
      <c r="Y30" s="31">
        <v>516375.00000000006</v>
      </c>
      <c r="Z30" s="24">
        <v>0.67500000000000004</v>
      </c>
      <c r="AA30" s="24">
        <v>0.76727340267459143</v>
      </c>
      <c r="AB30" s="5">
        <v>426395</v>
      </c>
      <c r="AC30" s="17">
        <v>44421</v>
      </c>
      <c r="AD30" s="1">
        <v>120000</v>
      </c>
      <c r="AE30" s="1">
        <v>306395</v>
      </c>
      <c r="AF30" s="26">
        <v>426395</v>
      </c>
      <c r="AG30" s="23">
        <v>0</v>
      </c>
      <c r="AH30" s="23">
        <v>0</v>
      </c>
      <c r="AI30" s="27">
        <v>0.8</v>
      </c>
      <c r="AJ30" s="23">
        <v>0</v>
      </c>
      <c r="AK30" s="23">
        <v>89979.999999999985</v>
      </c>
      <c r="AL30" s="23">
        <v>89980.000000000058</v>
      </c>
      <c r="AM30" s="2">
        <v>426395</v>
      </c>
      <c r="AN30" s="2"/>
      <c r="AO30" s="28">
        <v>426395</v>
      </c>
      <c r="AP30" s="18">
        <v>44599</v>
      </c>
      <c r="AQ30" s="18">
        <v>44614</v>
      </c>
      <c r="AR30" s="18">
        <v>44638</v>
      </c>
      <c r="AS30" s="11"/>
      <c r="AT30" s="2">
        <v>728571.42857142852</v>
      </c>
      <c r="AU30" s="2">
        <v>36428.571428571428</v>
      </c>
      <c r="AV30" s="2">
        <v>765000</v>
      </c>
      <c r="AW30" s="2"/>
      <c r="AX30" s="14">
        <v>88000</v>
      </c>
      <c r="AY30" s="29">
        <v>0.11503267973856209</v>
      </c>
      <c r="AZ30" s="11" t="s">
        <v>247</v>
      </c>
      <c r="BA30" s="33">
        <v>0.99350649350649356</v>
      </c>
      <c r="BB30" s="19">
        <v>43869</v>
      </c>
      <c r="BC30" s="11"/>
    </row>
    <row r="31" spans="2:55" x14ac:dyDescent="0.3">
      <c r="B31" s="11" t="s">
        <v>248</v>
      </c>
      <c r="C31" s="12">
        <v>2110528</v>
      </c>
      <c r="D31" s="13">
        <v>2</v>
      </c>
      <c r="E31" s="13">
        <v>12</v>
      </c>
      <c r="F31" s="11" t="s">
        <v>176</v>
      </c>
      <c r="G31" s="11" t="s">
        <v>177</v>
      </c>
      <c r="H31" s="11" t="s">
        <v>178</v>
      </c>
      <c r="I31" s="11" t="s">
        <v>198</v>
      </c>
      <c r="J31" s="4">
        <v>0.6</v>
      </c>
      <c r="K31" s="4">
        <v>0.77500000000000002</v>
      </c>
      <c r="L31" s="4">
        <v>0.67500000000000004</v>
      </c>
      <c r="M31" s="14">
        <v>218250</v>
      </c>
      <c r="N31" s="15">
        <v>250000</v>
      </c>
      <c r="O31" s="15">
        <v>218250</v>
      </c>
      <c r="P31" s="15">
        <v>780000</v>
      </c>
      <c r="Q31" s="3">
        <v>780000</v>
      </c>
      <c r="R31" s="5">
        <v>294.89603024574672</v>
      </c>
      <c r="S31" s="16">
        <v>4919.1022999999996</v>
      </c>
      <c r="T31" s="16">
        <v>2645</v>
      </c>
      <c r="U31" s="1">
        <v>429400</v>
      </c>
      <c r="V31" s="6">
        <v>162.34404536862004</v>
      </c>
      <c r="W31" s="23">
        <v>130950</v>
      </c>
      <c r="X31" s="23">
        <v>370978.75</v>
      </c>
      <c r="Y31" s="31">
        <v>501928.75</v>
      </c>
      <c r="Z31" s="24">
        <v>0.64349839743589743</v>
      </c>
      <c r="AA31" s="24">
        <v>0.77500000000000002</v>
      </c>
      <c r="AB31" s="5">
        <v>368814.75</v>
      </c>
      <c r="AC31" s="17">
        <v>44421</v>
      </c>
      <c r="AD31" s="1">
        <v>130950</v>
      </c>
      <c r="AE31" s="1">
        <v>237864.75</v>
      </c>
      <c r="AF31" s="26">
        <v>368814.75</v>
      </c>
      <c r="AG31" s="23">
        <v>0</v>
      </c>
      <c r="AH31" s="23">
        <v>0</v>
      </c>
      <c r="AI31" s="27">
        <v>0.69</v>
      </c>
      <c r="AJ31" s="23">
        <v>0</v>
      </c>
      <c r="AK31" s="23">
        <v>133114.00000000003</v>
      </c>
      <c r="AL31" s="23">
        <v>133114</v>
      </c>
      <c r="AM31" s="2">
        <v>368814.75</v>
      </c>
      <c r="AN31" s="2"/>
      <c r="AO31" s="28">
        <v>368814.75</v>
      </c>
      <c r="AP31" s="18">
        <v>44606</v>
      </c>
      <c r="AQ31" s="18">
        <v>44620</v>
      </c>
      <c r="AR31" s="18">
        <v>44650</v>
      </c>
      <c r="AS31" s="11"/>
      <c r="AT31" s="2">
        <v>742857.14285714284</v>
      </c>
      <c r="AU31" s="2">
        <v>37142.857142857145</v>
      </c>
      <c r="AV31" s="2">
        <v>780000</v>
      </c>
      <c r="AW31" s="2"/>
      <c r="AX31" s="14">
        <v>54390</v>
      </c>
      <c r="AY31" s="29">
        <v>6.9730769230769235E-2</v>
      </c>
      <c r="AZ31" s="11" t="s">
        <v>249</v>
      </c>
      <c r="BA31" s="33">
        <v>1</v>
      </c>
      <c r="BB31" s="19">
        <v>44093</v>
      </c>
      <c r="BC31" s="11"/>
    </row>
    <row r="32" spans="2:55" hidden="1" x14ac:dyDescent="0.3">
      <c r="B32" s="11" t="s">
        <v>250</v>
      </c>
      <c r="C32" s="12" t="s">
        <v>181</v>
      </c>
      <c r="D32" s="13">
        <v>2</v>
      </c>
      <c r="E32" s="13">
        <v>4</v>
      </c>
      <c r="F32" s="11" t="s">
        <v>176</v>
      </c>
      <c r="G32" s="11" t="s">
        <v>177</v>
      </c>
      <c r="H32" s="11" t="s">
        <v>178</v>
      </c>
      <c r="I32" s="11" t="s">
        <v>198</v>
      </c>
      <c r="J32" s="4">
        <v>0.6</v>
      </c>
      <c r="K32" s="4">
        <v>0.77500000000000002</v>
      </c>
      <c r="L32" s="4">
        <v>0.67500000000000004</v>
      </c>
      <c r="M32" s="14">
        <v>205234</v>
      </c>
      <c r="N32" s="15">
        <v>175000</v>
      </c>
      <c r="O32" s="15">
        <v>175000</v>
      </c>
      <c r="P32" s="15">
        <v>750000</v>
      </c>
      <c r="Q32" s="3">
        <v>745465.25</v>
      </c>
      <c r="R32" s="5">
        <v>260.74335431969217</v>
      </c>
      <c r="S32" s="16">
        <v>4899</v>
      </c>
      <c r="T32" s="16">
        <v>2859</v>
      </c>
      <c r="U32" s="1">
        <v>458100</v>
      </c>
      <c r="V32" s="6">
        <v>160.2308499475341</v>
      </c>
      <c r="W32" s="23">
        <v>105000</v>
      </c>
      <c r="X32" s="23">
        <v>398189.04375000001</v>
      </c>
      <c r="Y32" s="31">
        <v>503189.04375000001</v>
      </c>
      <c r="Z32" s="24">
        <v>0.67500000000000004</v>
      </c>
      <c r="AA32" s="24">
        <v>0.75857568547669807</v>
      </c>
      <c r="AB32" s="5">
        <v>418440.54</v>
      </c>
      <c r="AC32" s="17">
        <v>44491</v>
      </c>
      <c r="AD32" s="1">
        <v>152117.28</v>
      </c>
      <c r="AE32" s="1">
        <v>266323.26</v>
      </c>
      <c r="AF32" s="26">
        <v>418440.54000000004</v>
      </c>
      <c r="AG32" s="23">
        <v>0</v>
      </c>
      <c r="AH32" s="23">
        <v>0</v>
      </c>
      <c r="AI32" s="27">
        <v>0.81499999999999995</v>
      </c>
      <c r="AJ32" s="23">
        <v>0</v>
      </c>
      <c r="AK32" s="23">
        <v>84748.500000000029</v>
      </c>
      <c r="AL32" s="23">
        <v>84748.503749999974</v>
      </c>
      <c r="AM32" s="2">
        <v>418440.54</v>
      </c>
      <c r="AN32" s="2"/>
      <c r="AO32" s="28">
        <v>418440.54</v>
      </c>
      <c r="AP32" s="18">
        <v>44627</v>
      </c>
      <c r="AQ32" s="18">
        <v>44636</v>
      </c>
      <c r="AR32" s="18">
        <v>44663</v>
      </c>
      <c r="AS32" s="11"/>
      <c r="AT32" s="2">
        <v>709966.90476190473</v>
      </c>
      <c r="AU32" s="2">
        <v>35498.345238095266</v>
      </c>
      <c r="AV32" s="2">
        <v>745465.25</v>
      </c>
      <c r="AW32" s="2">
        <v>23530.5</v>
      </c>
      <c r="AX32" s="14">
        <v>74550</v>
      </c>
      <c r="AY32" s="29">
        <v>0.10000466151842759</v>
      </c>
      <c r="AZ32" s="11" t="s">
        <v>251</v>
      </c>
      <c r="BA32" s="33">
        <v>0.99395366666666662</v>
      </c>
      <c r="BB32" s="19">
        <v>44158</v>
      </c>
      <c r="BC32" s="11"/>
    </row>
    <row r="33" spans="2:55" x14ac:dyDescent="0.3">
      <c r="B33" s="11" t="s">
        <v>252</v>
      </c>
      <c r="C33" s="12">
        <v>2110528</v>
      </c>
      <c r="D33" s="13">
        <v>2</v>
      </c>
      <c r="E33" s="13">
        <v>21</v>
      </c>
      <c r="F33" s="11" t="s">
        <v>176</v>
      </c>
      <c r="G33" s="11" t="s">
        <v>177</v>
      </c>
      <c r="H33" s="11" t="s">
        <v>178</v>
      </c>
      <c r="I33" s="11" t="s">
        <v>198</v>
      </c>
      <c r="J33" s="4">
        <v>0.6</v>
      </c>
      <c r="K33" s="4">
        <v>0.77500000000000002</v>
      </c>
      <c r="L33" s="4">
        <v>0.67500000000000004</v>
      </c>
      <c r="M33" s="14">
        <v>220708</v>
      </c>
      <c r="N33" s="15">
        <v>200000</v>
      </c>
      <c r="O33" s="15">
        <v>200000</v>
      </c>
      <c r="P33" s="15">
        <v>765000</v>
      </c>
      <c r="Q33" s="3">
        <v>761783.4</v>
      </c>
      <c r="R33" s="5">
        <v>354.64776536312849</v>
      </c>
      <c r="S33" s="16">
        <v>4972.9218000000001</v>
      </c>
      <c r="T33" s="16">
        <v>2148</v>
      </c>
      <c r="U33" s="1">
        <v>445400</v>
      </c>
      <c r="V33" s="6">
        <v>207.35567970204841</v>
      </c>
      <c r="W33" s="23">
        <v>120000</v>
      </c>
      <c r="X33" s="23">
        <v>394203.79500000004</v>
      </c>
      <c r="Y33" s="31">
        <v>514203.79500000004</v>
      </c>
      <c r="Z33" s="24">
        <v>0.67500000000000004</v>
      </c>
      <c r="AA33" s="24">
        <v>0.77195258876938877</v>
      </c>
      <c r="AB33" s="5">
        <v>337380</v>
      </c>
      <c r="AC33" s="17">
        <v>44421</v>
      </c>
      <c r="AD33" s="1">
        <v>120000</v>
      </c>
      <c r="AE33" s="1">
        <v>217380</v>
      </c>
      <c r="AF33" s="26">
        <v>337380</v>
      </c>
      <c r="AG33" s="23">
        <v>337380</v>
      </c>
      <c r="AH33" s="23">
        <v>0</v>
      </c>
      <c r="AI33" s="27">
        <v>0.60299999999999998</v>
      </c>
      <c r="AJ33" s="23">
        <v>538755.39020000002</v>
      </c>
      <c r="AK33" s="23">
        <v>176823.80000000002</v>
      </c>
      <c r="AL33" s="23">
        <v>176823.79500000004</v>
      </c>
      <c r="AM33" s="2">
        <v>337380</v>
      </c>
      <c r="AN33" s="2"/>
      <c r="AO33" s="28">
        <v>337380</v>
      </c>
      <c r="AP33" s="18">
        <v>44665</v>
      </c>
      <c r="AQ33" s="18">
        <v>44669</v>
      </c>
      <c r="AR33" s="18">
        <v>44697</v>
      </c>
      <c r="AS33" s="11"/>
      <c r="AT33" s="2">
        <v>725508</v>
      </c>
      <c r="AU33" s="2">
        <v>36275.4</v>
      </c>
      <c r="AV33" s="2">
        <v>761783.4</v>
      </c>
      <c r="AW33" s="2"/>
      <c r="AX33" s="14">
        <v>75000</v>
      </c>
      <c r="AY33" s="29">
        <v>9.8453182361285377E-2</v>
      </c>
      <c r="AZ33" s="11" t="s">
        <v>253</v>
      </c>
      <c r="BA33" s="33">
        <v>0.99579529411764711</v>
      </c>
      <c r="BB33" s="19">
        <v>44111</v>
      </c>
      <c r="BC33" s="11"/>
    </row>
    <row r="34" spans="2:55" x14ac:dyDescent="0.3">
      <c r="B34" s="11" t="s">
        <v>254</v>
      </c>
      <c r="C34" s="12">
        <v>2110528</v>
      </c>
      <c r="D34" s="13">
        <v>2</v>
      </c>
      <c r="E34" s="13">
        <v>13</v>
      </c>
      <c r="F34" s="11" t="s">
        <v>176</v>
      </c>
      <c r="G34" s="11" t="s">
        <v>177</v>
      </c>
      <c r="H34" s="11" t="s">
        <v>178</v>
      </c>
      <c r="I34" s="11" t="s">
        <v>198</v>
      </c>
      <c r="J34" s="4">
        <v>0.6</v>
      </c>
      <c r="K34" s="4">
        <v>0.77500000000000002</v>
      </c>
      <c r="L34" s="4">
        <v>0.67500000000000004</v>
      </c>
      <c r="M34" s="14">
        <v>207000</v>
      </c>
      <c r="N34" s="15">
        <v>250000</v>
      </c>
      <c r="O34" s="15">
        <v>207000</v>
      </c>
      <c r="P34" s="15">
        <v>735000</v>
      </c>
      <c r="Q34" s="3">
        <v>730364.25</v>
      </c>
      <c r="R34" s="5">
        <v>298.10785714285714</v>
      </c>
      <c r="S34" s="16">
        <v>4888</v>
      </c>
      <c r="T34" s="16">
        <v>2450</v>
      </c>
      <c r="U34" s="1">
        <v>422200</v>
      </c>
      <c r="V34" s="6">
        <v>172.32653061224491</v>
      </c>
      <c r="W34" s="23">
        <v>124200</v>
      </c>
      <c r="X34" s="23">
        <v>363430</v>
      </c>
      <c r="Y34" s="31">
        <v>487630</v>
      </c>
      <c r="Z34" s="24">
        <v>0.66765316073452385</v>
      </c>
      <c r="AA34" s="24">
        <v>0.77500000000000002</v>
      </c>
      <c r="AB34" s="5">
        <v>398968</v>
      </c>
      <c r="AC34" s="17">
        <v>44491</v>
      </c>
      <c r="AD34" s="1">
        <v>124200</v>
      </c>
      <c r="AE34" s="1">
        <v>274768</v>
      </c>
      <c r="AF34" s="26">
        <v>398968</v>
      </c>
      <c r="AG34" s="23">
        <v>0</v>
      </c>
      <c r="AH34" s="23">
        <v>0</v>
      </c>
      <c r="AI34" s="27">
        <v>0.79</v>
      </c>
      <c r="AJ34" s="23">
        <v>0</v>
      </c>
      <c r="AK34" s="23">
        <v>88661.999999999985</v>
      </c>
      <c r="AL34" s="23">
        <v>88662</v>
      </c>
      <c r="AM34" s="2">
        <v>398968</v>
      </c>
      <c r="AN34" s="2"/>
      <c r="AO34" s="28">
        <v>398968</v>
      </c>
      <c r="AP34" s="18">
        <v>44677</v>
      </c>
      <c r="AQ34" s="18">
        <v>44683</v>
      </c>
      <c r="AR34" s="18">
        <v>44714</v>
      </c>
      <c r="AS34" s="11"/>
      <c r="AT34" s="2">
        <v>695585</v>
      </c>
      <c r="AU34" s="2">
        <v>34779.25</v>
      </c>
      <c r="AV34" s="2">
        <v>730364.25</v>
      </c>
      <c r="AW34" s="2">
        <v>4168.5</v>
      </c>
      <c r="AX34" s="14">
        <v>50000</v>
      </c>
      <c r="AY34" s="29">
        <v>6.8458991523749971E-2</v>
      </c>
      <c r="AZ34" s="11" t="s">
        <v>255</v>
      </c>
      <c r="BA34" s="33">
        <v>0.99369285714285716</v>
      </c>
      <c r="BB34" s="19">
        <v>44214</v>
      </c>
      <c r="BC34" s="11" t="s">
        <v>233</v>
      </c>
    </row>
    <row r="35" spans="2:55" hidden="1" x14ac:dyDescent="0.3">
      <c r="B35" s="11" t="s">
        <v>256</v>
      </c>
      <c r="C35" s="12" t="s">
        <v>244</v>
      </c>
      <c r="D35" s="13">
        <v>1</v>
      </c>
      <c r="E35" s="13">
        <v>35</v>
      </c>
      <c r="F35" s="11" t="s">
        <v>239</v>
      </c>
      <c r="G35" s="11" t="s">
        <v>177</v>
      </c>
      <c r="H35" s="11" t="s">
        <v>178</v>
      </c>
      <c r="I35" s="11" t="s">
        <v>198</v>
      </c>
      <c r="J35" s="4">
        <v>0.5</v>
      </c>
      <c r="K35" s="4">
        <v>0.75</v>
      </c>
      <c r="L35" s="4">
        <v>0.65</v>
      </c>
      <c r="M35" s="14">
        <v>184000</v>
      </c>
      <c r="N35" s="15">
        <v>185000</v>
      </c>
      <c r="O35" s="15">
        <v>184000</v>
      </c>
      <c r="P35" s="15">
        <v>695000</v>
      </c>
      <c r="Q35" s="3">
        <v>694773.45</v>
      </c>
      <c r="R35" s="5">
        <v>384.70290697674415</v>
      </c>
      <c r="S35" s="16">
        <v>8860</v>
      </c>
      <c r="T35" s="16">
        <v>1806</v>
      </c>
      <c r="U35" s="1">
        <v>418900</v>
      </c>
      <c r="V35" s="6">
        <v>231.94905869324475</v>
      </c>
      <c r="W35" s="23">
        <v>92000</v>
      </c>
      <c r="X35" s="23">
        <v>359602.74249999999</v>
      </c>
      <c r="Y35" s="31">
        <v>451602.74249999999</v>
      </c>
      <c r="Z35" s="24">
        <v>0.65</v>
      </c>
      <c r="AA35" s="24">
        <v>0.7490508251783049</v>
      </c>
      <c r="AB35" s="5">
        <v>310852.34000000003</v>
      </c>
      <c r="AC35" s="17">
        <v>44470</v>
      </c>
      <c r="AD35" s="1">
        <v>92000</v>
      </c>
      <c r="AE35" s="1">
        <v>218852.34</v>
      </c>
      <c r="AF35" s="26">
        <v>310852.33999999997</v>
      </c>
      <c r="AG35" s="23">
        <v>0</v>
      </c>
      <c r="AH35" s="23">
        <v>0</v>
      </c>
      <c r="AI35" s="27">
        <v>0.66400000000000003</v>
      </c>
      <c r="AJ35" s="23">
        <v>0</v>
      </c>
      <c r="AK35" s="23">
        <v>140750.39999999999</v>
      </c>
      <c r="AL35" s="23">
        <v>140750.40250000003</v>
      </c>
      <c r="AM35" s="2">
        <v>310852.34000000003</v>
      </c>
      <c r="AN35" s="2"/>
      <c r="AO35" s="28">
        <v>310852.34000000003</v>
      </c>
      <c r="AP35" s="18">
        <v>44671</v>
      </c>
      <c r="AQ35" s="18">
        <v>44686</v>
      </c>
      <c r="AR35" s="18">
        <v>44714</v>
      </c>
      <c r="AS35" s="11"/>
      <c r="AT35" s="2">
        <v>661688.99999999988</v>
      </c>
      <c r="AU35" s="2">
        <v>33084.449999999997</v>
      </c>
      <c r="AV35" s="2">
        <v>694773.45</v>
      </c>
      <c r="AW35" s="2">
        <v>3313</v>
      </c>
      <c r="AX35" s="14">
        <v>45000</v>
      </c>
      <c r="AY35" s="29">
        <v>6.4769314371468864E-2</v>
      </c>
      <c r="AZ35" s="11" t="s">
        <v>257</v>
      </c>
      <c r="BA35" s="33">
        <v>0.99967402877697831</v>
      </c>
      <c r="BB35" s="19">
        <v>44283</v>
      </c>
      <c r="BC35" s="11" t="s">
        <v>258</v>
      </c>
    </row>
    <row r="36" spans="2:55" hidden="1" x14ac:dyDescent="0.3">
      <c r="B36" s="11" t="s">
        <v>259</v>
      </c>
      <c r="C36" s="12" t="s">
        <v>244</v>
      </c>
      <c r="D36" s="13">
        <v>1</v>
      </c>
      <c r="E36" s="13">
        <v>39</v>
      </c>
      <c r="F36" s="11" t="s">
        <v>239</v>
      </c>
      <c r="G36" s="11" t="s">
        <v>177</v>
      </c>
      <c r="H36" s="11" t="s">
        <v>178</v>
      </c>
      <c r="I36" s="11" t="s">
        <v>198</v>
      </c>
      <c r="J36" s="4">
        <v>0.5</v>
      </c>
      <c r="K36" s="4">
        <v>0.75</v>
      </c>
      <c r="L36" s="4">
        <v>0.65</v>
      </c>
      <c r="M36" s="14">
        <v>184000</v>
      </c>
      <c r="N36" s="15">
        <v>185000</v>
      </c>
      <c r="O36" s="15">
        <v>184000</v>
      </c>
      <c r="P36" s="15">
        <v>685000</v>
      </c>
      <c r="Q36" s="3">
        <v>682500</v>
      </c>
      <c r="R36" s="5">
        <v>259.21002658564373</v>
      </c>
      <c r="S36" s="16">
        <v>8860</v>
      </c>
      <c r="T36" s="16">
        <v>2633</v>
      </c>
      <c r="U36" s="1">
        <v>437400</v>
      </c>
      <c r="V36" s="6">
        <v>166.12229396126091</v>
      </c>
      <c r="W36" s="23">
        <v>92000</v>
      </c>
      <c r="X36" s="23">
        <v>351625</v>
      </c>
      <c r="Y36" s="31">
        <v>443625</v>
      </c>
      <c r="Z36" s="24">
        <v>0.65</v>
      </c>
      <c r="AA36" s="24">
        <v>0.71391213389121344</v>
      </c>
      <c r="AB36" s="5">
        <v>334275</v>
      </c>
      <c r="AC36" s="17">
        <v>44470</v>
      </c>
      <c r="AD36" s="1">
        <v>92000</v>
      </c>
      <c r="AE36" s="1">
        <v>242275</v>
      </c>
      <c r="AF36" s="26">
        <v>334275</v>
      </c>
      <c r="AG36" s="23">
        <v>0</v>
      </c>
      <c r="AH36" s="23">
        <v>0</v>
      </c>
      <c r="AI36" s="27">
        <v>0.75</v>
      </c>
      <c r="AJ36" s="23">
        <v>0</v>
      </c>
      <c r="AK36" s="23">
        <v>109350</v>
      </c>
      <c r="AL36" s="23">
        <v>109350</v>
      </c>
      <c r="AM36" s="2">
        <v>334275</v>
      </c>
      <c r="AN36" s="2"/>
      <c r="AO36" s="28">
        <v>334275</v>
      </c>
      <c r="AP36" s="18">
        <v>44711</v>
      </c>
      <c r="AQ36" s="18">
        <v>44718</v>
      </c>
      <c r="AR36" s="18">
        <v>44748</v>
      </c>
      <c r="AS36" s="11"/>
      <c r="AT36" s="2">
        <v>650000</v>
      </c>
      <c r="AU36" s="2">
        <v>32500</v>
      </c>
      <c r="AV36" s="2">
        <v>682500</v>
      </c>
      <c r="AW36" s="2">
        <v>16625.349999999999</v>
      </c>
      <c r="AX36" s="14">
        <v>35000</v>
      </c>
      <c r="AY36" s="29">
        <v>5.128205128205128E-2</v>
      </c>
      <c r="AZ36" s="11" t="s">
        <v>260</v>
      </c>
      <c r="BA36" s="33">
        <v>0.9963503649635036</v>
      </c>
      <c r="BB36" s="19">
        <v>44205</v>
      </c>
      <c r="BC36" s="11" t="s">
        <v>258</v>
      </c>
    </row>
    <row r="37" spans="2:55" x14ac:dyDescent="0.3">
      <c r="B37" s="11" t="s">
        <v>261</v>
      </c>
      <c r="C37" s="12">
        <v>2110528</v>
      </c>
      <c r="D37" s="13">
        <v>2</v>
      </c>
      <c r="E37" s="13">
        <v>14</v>
      </c>
      <c r="F37" s="11" t="s">
        <v>176</v>
      </c>
      <c r="G37" s="11" t="s">
        <v>177</v>
      </c>
      <c r="H37" s="11" t="s">
        <v>178</v>
      </c>
      <c r="I37" s="11" t="s">
        <v>198</v>
      </c>
      <c r="J37" s="4">
        <v>0.6</v>
      </c>
      <c r="K37" s="4">
        <v>0.77500000000000002</v>
      </c>
      <c r="L37" s="4">
        <v>0.67500000000000004</v>
      </c>
      <c r="M37" s="14">
        <v>208800</v>
      </c>
      <c r="N37" s="15">
        <v>200000</v>
      </c>
      <c r="O37" s="15">
        <v>200000</v>
      </c>
      <c r="P37" s="15">
        <v>660000</v>
      </c>
      <c r="Q37" s="3">
        <v>650000</v>
      </c>
      <c r="R37" s="5">
        <v>258.6549940310386</v>
      </c>
      <c r="S37" s="16">
        <v>5663</v>
      </c>
      <c r="T37" s="16">
        <v>2513</v>
      </c>
      <c r="U37" s="1">
        <v>363200</v>
      </c>
      <c r="V37" s="6">
        <v>144.5284520493434</v>
      </c>
      <c r="W37" s="23">
        <v>120000</v>
      </c>
      <c r="X37" s="23">
        <v>318750</v>
      </c>
      <c r="Y37" s="31">
        <v>438750</v>
      </c>
      <c r="Z37" s="24">
        <v>0.67500000000000004</v>
      </c>
      <c r="AA37" s="24">
        <v>0.76704545454545459</v>
      </c>
      <c r="AB37" s="5">
        <v>362478</v>
      </c>
      <c r="AC37" s="17">
        <v>44582</v>
      </c>
      <c r="AD37" s="1">
        <v>120000</v>
      </c>
      <c r="AE37" s="1">
        <v>242478</v>
      </c>
      <c r="AF37" s="26">
        <v>362478</v>
      </c>
      <c r="AG37" s="23">
        <v>0</v>
      </c>
      <c r="AH37" s="23">
        <v>0</v>
      </c>
      <c r="AI37" s="27">
        <v>0.79</v>
      </c>
      <c r="AJ37" s="23">
        <v>0</v>
      </c>
      <c r="AK37" s="23">
        <v>76271.999999999985</v>
      </c>
      <c r="AL37" s="23">
        <v>76272</v>
      </c>
      <c r="AM37" s="2">
        <v>362478</v>
      </c>
      <c r="AN37" s="2"/>
      <c r="AO37" s="28">
        <v>362478</v>
      </c>
      <c r="AP37" s="18">
        <v>44727</v>
      </c>
      <c r="AQ37" s="18">
        <v>44728</v>
      </c>
      <c r="AR37" s="18">
        <v>44761</v>
      </c>
      <c r="AS37" s="11"/>
      <c r="AT37" s="2">
        <v>619047.61904761905</v>
      </c>
      <c r="AU37" s="2">
        <v>30952.380952380947</v>
      </c>
      <c r="AV37" s="2">
        <v>650000</v>
      </c>
      <c r="AW37" s="2">
        <v>25972.639999999999</v>
      </c>
      <c r="AX37" s="14">
        <v>32000</v>
      </c>
      <c r="AY37" s="29">
        <v>4.9230769230769231E-2</v>
      </c>
      <c r="AZ37" s="11" t="s">
        <v>262</v>
      </c>
      <c r="BA37" s="33">
        <v>0.98484848484848486</v>
      </c>
      <c r="BB37" s="19">
        <v>44180</v>
      </c>
      <c r="BC37" s="11" t="s">
        <v>263</v>
      </c>
    </row>
    <row r="38" spans="2:55" hidden="1" x14ac:dyDescent="0.3">
      <c r="B38" s="11" t="s">
        <v>264</v>
      </c>
      <c r="C38" s="12" t="s">
        <v>244</v>
      </c>
      <c r="D38" s="13">
        <v>1</v>
      </c>
      <c r="E38" s="13">
        <v>34</v>
      </c>
      <c r="F38" s="11" t="s">
        <v>239</v>
      </c>
      <c r="G38" s="11" t="s">
        <v>177</v>
      </c>
      <c r="H38" s="11" t="s">
        <v>178</v>
      </c>
      <c r="I38" s="11" t="s">
        <v>198</v>
      </c>
      <c r="J38" s="4">
        <v>0.5</v>
      </c>
      <c r="K38" s="4">
        <v>0.75</v>
      </c>
      <c r="L38" s="4">
        <v>0.65</v>
      </c>
      <c r="M38" s="14">
        <v>184000</v>
      </c>
      <c r="N38" s="15">
        <v>185000</v>
      </c>
      <c r="O38" s="15">
        <v>184000</v>
      </c>
      <c r="P38" s="15">
        <v>760000</v>
      </c>
      <c r="Q38" s="3">
        <v>756750.75</v>
      </c>
      <c r="R38" s="5">
        <v>304.40496781979084</v>
      </c>
      <c r="S38" s="16">
        <v>10193</v>
      </c>
      <c r="T38" s="16">
        <v>2486</v>
      </c>
      <c r="U38" s="1">
        <v>489900</v>
      </c>
      <c r="V38" s="6">
        <v>197.06355591311345</v>
      </c>
      <c r="W38" s="23">
        <v>92000</v>
      </c>
      <c r="X38" s="23">
        <v>399887.98749999999</v>
      </c>
      <c r="Y38" s="31">
        <v>491887.98749999999</v>
      </c>
      <c r="Z38" s="24">
        <v>0.65</v>
      </c>
      <c r="AA38" s="24">
        <v>0.72991243136963935</v>
      </c>
      <c r="AB38" s="5">
        <v>464453.59</v>
      </c>
      <c r="AC38" s="17">
        <v>44470</v>
      </c>
      <c r="AD38" s="1">
        <v>92000</v>
      </c>
      <c r="AE38" s="1">
        <v>372453.58999999997</v>
      </c>
      <c r="AF38" s="26">
        <v>464453.58999999997</v>
      </c>
      <c r="AG38" s="23">
        <v>0</v>
      </c>
      <c r="AH38" s="23">
        <v>0</v>
      </c>
      <c r="AI38" s="27">
        <v>0.94399999999999995</v>
      </c>
      <c r="AJ38" s="23">
        <v>0</v>
      </c>
      <c r="AK38" s="23">
        <v>27434.400000000023</v>
      </c>
      <c r="AL38" s="23">
        <v>27434.397500000021</v>
      </c>
      <c r="AM38" s="2">
        <v>464453.58999999997</v>
      </c>
      <c r="AN38" s="2"/>
      <c r="AO38" s="28">
        <v>464453.58999999997</v>
      </c>
      <c r="AP38" s="18"/>
      <c r="AQ38" s="18">
        <v>44757</v>
      </c>
      <c r="AR38" s="18">
        <v>44781</v>
      </c>
      <c r="AS38" s="11"/>
      <c r="AT38" s="2">
        <v>720715</v>
      </c>
      <c r="AU38" s="2">
        <v>36035.75</v>
      </c>
      <c r="AV38" s="2">
        <v>756750.75</v>
      </c>
      <c r="AW38" s="2">
        <v>10672.75</v>
      </c>
      <c r="AX38" s="14">
        <v>75000</v>
      </c>
      <c r="AY38" s="29">
        <v>9.9107929526333474E-2</v>
      </c>
      <c r="AZ38" s="11" t="s">
        <v>265</v>
      </c>
      <c r="BA38" s="33">
        <v>0.99572467105263163</v>
      </c>
      <c r="BB38" s="19">
        <v>44277</v>
      </c>
      <c r="BC38" s="11"/>
    </row>
    <row r="39" spans="2:55" x14ac:dyDescent="0.3">
      <c r="B39" s="11" t="s">
        <v>266</v>
      </c>
      <c r="C39" s="12">
        <v>2110528</v>
      </c>
      <c r="D39" s="13">
        <v>6</v>
      </c>
      <c r="E39" s="13">
        <v>20</v>
      </c>
      <c r="F39" s="11" t="s">
        <v>176</v>
      </c>
      <c r="G39" s="11" t="s">
        <v>177</v>
      </c>
      <c r="H39" s="11" t="s">
        <v>178</v>
      </c>
      <c r="I39" s="11" t="s">
        <v>198</v>
      </c>
      <c r="J39" s="4">
        <v>0.6</v>
      </c>
      <c r="K39" s="4">
        <v>0.77500000000000002</v>
      </c>
      <c r="L39" s="4">
        <v>0.67500000000000004</v>
      </c>
      <c r="M39" s="14">
        <v>191250</v>
      </c>
      <c r="N39" s="15">
        <v>175000</v>
      </c>
      <c r="O39" s="15">
        <v>175000</v>
      </c>
      <c r="P39" s="15">
        <v>690000</v>
      </c>
      <c r="Q39" s="3">
        <v>686344.95</v>
      </c>
      <c r="R39" s="5">
        <v>226.74098116947471</v>
      </c>
      <c r="S39" s="16">
        <v>5185</v>
      </c>
      <c r="T39" s="16">
        <v>3027</v>
      </c>
      <c r="U39" s="1">
        <v>463400</v>
      </c>
      <c r="V39" s="6">
        <v>153.08886686488273</v>
      </c>
      <c r="W39" s="23">
        <v>105000</v>
      </c>
      <c r="X39" s="23">
        <v>358282.84125</v>
      </c>
      <c r="Y39" s="31">
        <v>463282.84125</v>
      </c>
      <c r="Z39" s="24">
        <v>0.67500000000000004</v>
      </c>
      <c r="AA39" s="24">
        <v>0.70768019743374322</v>
      </c>
      <c r="AB39" s="5">
        <v>407674.84</v>
      </c>
      <c r="AC39" s="17">
        <v>44582</v>
      </c>
      <c r="AD39" s="1">
        <v>105000</v>
      </c>
      <c r="AE39" s="1">
        <v>302674.84000000003</v>
      </c>
      <c r="AF39" s="26">
        <v>407674.84</v>
      </c>
      <c r="AG39" s="23">
        <v>0</v>
      </c>
      <c r="AH39" s="23">
        <v>0</v>
      </c>
      <c r="AI39" s="27">
        <v>0.88</v>
      </c>
      <c r="AJ39" s="23">
        <v>0</v>
      </c>
      <c r="AK39" s="23">
        <v>55608</v>
      </c>
      <c r="AL39" s="23">
        <v>55608.001249999972</v>
      </c>
      <c r="AM39" s="2">
        <v>407674.84</v>
      </c>
      <c r="AN39" s="2"/>
      <c r="AO39" s="28">
        <v>407674.84</v>
      </c>
      <c r="AP39" s="18">
        <v>44762</v>
      </c>
      <c r="AQ39" s="18">
        <v>44775</v>
      </c>
      <c r="AR39" s="18">
        <v>44802</v>
      </c>
      <c r="AS39" s="11"/>
      <c r="AT39" s="2">
        <v>653661.85714285704</v>
      </c>
      <c r="AU39" s="2">
        <v>32683.09285714291</v>
      </c>
      <c r="AV39" s="2">
        <v>686344.95</v>
      </c>
      <c r="AW39" s="2"/>
      <c r="AX39" s="14">
        <v>40000</v>
      </c>
      <c r="AY39" s="29">
        <v>5.8279732370726998E-2</v>
      </c>
      <c r="AZ39" s="11" t="s">
        <v>267</v>
      </c>
      <c r="BA39" s="33">
        <v>0.99470282608695648</v>
      </c>
      <c r="BB39" s="19">
        <v>44178</v>
      </c>
      <c r="BC39" s="11"/>
    </row>
    <row r="40" spans="2:55" hidden="1" x14ac:dyDescent="0.3">
      <c r="B40" s="11" t="s">
        <v>268</v>
      </c>
      <c r="C40" s="12" t="s">
        <v>244</v>
      </c>
      <c r="D40" s="13">
        <v>1</v>
      </c>
      <c r="E40" s="13">
        <v>36</v>
      </c>
      <c r="F40" s="11" t="s">
        <v>239</v>
      </c>
      <c r="G40" s="11" t="s">
        <v>177</v>
      </c>
      <c r="H40" s="11" t="s">
        <v>178</v>
      </c>
      <c r="I40" s="11" t="s">
        <v>198</v>
      </c>
      <c r="J40" s="4">
        <v>0.5</v>
      </c>
      <c r="K40" s="4">
        <v>0.75</v>
      </c>
      <c r="L40" s="4">
        <v>0.65</v>
      </c>
      <c r="M40" s="14">
        <v>184000</v>
      </c>
      <c r="N40" s="15">
        <v>185000</v>
      </c>
      <c r="O40" s="15">
        <v>184000</v>
      </c>
      <c r="P40" s="15">
        <v>860000</v>
      </c>
      <c r="Q40" s="3">
        <v>855492.75</v>
      </c>
      <c r="R40" s="5">
        <v>473.69476744186045</v>
      </c>
      <c r="S40" s="16">
        <v>8860</v>
      </c>
      <c r="T40" s="16">
        <v>1806</v>
      </c>
      <c r="U40" s="1">
        <v>542400</v>
      </c>
      <c r="V40" s="6">
        <v>300.33222591362124</v>
      </c>
      <c r="W40" s="23">
        <v>92000</v>
      </c>
      <c r="X40" s="23">
        <v>428000</v>
      </c>
      <c r="Y40" s="31">
        <v>520000</v>
      </c>
      <c r="Z40" s="24">
        <v>0.60783682854121202</v>
      </c>
      <c r="AA40" s="24">
        <v>0.71585903083700442</v>
      </c>
      <c r="AB40" s="5">
        <v>384400</v>
      </c>
      <c r="AC40" s="17">
        <v>44470</v>
      </c>
      <c r="AD40" s="1">
        <v>92000</v>
      </c>
      <c r="AE40" s="1">
        <v>292400</v>
      </c>
      <c r="AF40" s="26">
        <v>384400</v>
      </c>
      <c r="AG40" s="23">
        <v>0</v>
      </c>
      <c r="AH40" s="23">
        <v>0</v>
      </c>
      <c r="AI40" s="27">
        <v>0.75</v>
      </c>
      <c r="AJ40" s="23">
        <v>0</v>
      </c>
      <c r="AK40" s="23">
        <v>135600</v>
      </c>
      <c r="AL40" s="23">
        <v>135600</v>
      </c>
      <c r="AM40" s="2">
        <v>384400</v>
      </c>
      <c r="AN40" s="2"/>
      <c r="AO40" s="28">
        <v>384400</v>
      </c>
      <c r="AP40" s="18"/>
      <c r="AQ40" s="18">
        <v>44776</v>
      </c>
      <c r="AR40" s="18">
        <v>44802</v>
      </c>
      <c r="AS40" s="11"/>
      <c r="AT40" s="2">
        <v>814755</v>
      </c>
      <c r="AU40" s="2">
        <v>40737.75</v>
      </c>
      <c r="AV40" s="2">
        <v>855492.75</v>
      </c>
      <c r="AW40" s="2">
        <v>-5743.5</v>
      </c>
      <c r="AX40" s="14">
        <v>85500</v>
      </c>
      <c r="AY40" s="29">
        <v>9.9942401615910836E-2</v>
      </c>
      <c r="AZ40" s="11" t="s">
        <v>269</v>
      </c>
      <c r="BA40" s="33">
        <v>0.99475901162790703</v>
      </c>
      <c r="BB40" s="19">
        <v>44287</v>
      </c>
      <c r="BC40" s="11"/>
    </row>
    <row r="41" spans="2:55" x14ac:dyDescent="0.3">
      <c r="B41" s="11" t="s">
        <v>270</v>
      </c>
      <c r="C41" s="12">
        <v>2110528</v>
      </c>
      <c r="D41" s="13">
        <v>2</v>
      </c>
      <c r="E41" s="13">
        <v>23</v>
      </c>
      <c r="F41" s="11" t="s">
        <v>176</v>
      </c>
      <c r="G41" s="11" t="s">
        <v>177</v>
      </c>
      <c r="H41" s="11" t="s">
        <v>178</v>
      </c>
      <c r="I41" s="11" t="s">
        <v>198</v>
      </c>
      <c r="J41" s="4">
        <v>0.6</v>
      </c>
      <c r="K41" s="4">
        <v>0.77500000000000002</v>
      </c>
      <c r="L41" s="4">
        <v>0.67500000000000004</v>
      </c>
      <c r="M41" s="14">
        <v>239900</v>
      </c>
      <c r="N41" s="15">
        <v>300000</v>
      </c>
      <c r="O41" s="15">
        <v>239900</v>
      </c>
      <c r="P41" s="15">
        <v>960000</v>
      </c>
      <c r="Q41" s="3">
        <v>801979.5</v>
      </c>
      <c r="R41" s="5">
        <v>310.60398915569328</v>
      </c>
      <c r="S41" s="16">
        <v>5413.380588</v>
      </c>
      <c r="T41" s="16">
        <v>2582</v>
      </c>
      <c r="U41" s="1">
        <v>457400</v>
      </c>
      <c r="V41" s="6">
        <v>177.14949651432997</v>
      </c>
      <c r="W41" s="23">
        <v>143940</v>
      </c>
      <c r="X41" s="23">
        <v>396060</v>
      </c>
      <c r="Y41" s="31">
        <v>540000</v>
      </c>
      <c r="Z41" s="24">
        <v>0.67333391938322618</v>
      </c>
      <c r="AA41" s="24">
        <v>0.77441560304029833</v>
      </c>
      <c r="AB41" s="5">
        <v>425650</v>
      </c>
      <c r="AC41" s="17">
        <v>44645</v>
      </c>
      <c r="AD41" s="1">
        <v>143940</v>
      </c>
      <c r="AE41" s="1">
        <v>281710</v>
      </c>
      <c r="AF41" s="26">
        <v>425650</v>
      </c>
      <c r="AG41" s="23">
        <v>0</v>
      </c>
      <c r="AH41" s="23">
        <v>0</v>
      </c>
      <c r="AI41" s="27">
        <v>0.75</v>
      </c>
      <c r="AJ41" s="23">
        <v>0</v>
      </c>
      <c r="AK41" s="23">
        <v>114350</v>
      </c>
      <c r="AL41" s="23">
        <v>114350</v>
      </c>
      <c r="AM41" s="2">
        <v>425650</v>
      </c>
      <c r="AN41" s="2"/>
      <c r="AO41" s="28">
        <v>425650</v>
      </c>
      <c r="AP41" s="18"/>
      <c r="AQ41" s="18">
        <v>44799</v>
      </c>
      <c r="AR41" s="18">
        <v>44827</v>
      </c>
      <c r="AS41" s="11"/>
      <c r="AT41" s="2">
        <v>763790</v>
      </c>
      <c r="AU41" s="2">
        <v>38189.5</v>
      </c>
      <c r="AV41" s="2">
        <v>801979.5</v>
      </c>
      <c r="AW41" s="2"/>
      <c r="AX41" s="14">
        <v>40000</v>
      </c>
      <c r="AY41" s="29">
        <v>4.9876586620979713E-2</v>
      </c>
      <c r="AZ41" s="11" t="s">
        <v>271</v>
      </c>
      <c r="BA41" s="33">
        <v>0.83539531249999999</v>
      </c>
      <c r="BB41" s="19">
        <v>44305</v>
      </c>
      <c r="BC41" s="11" t="s">
        <v>263</v>
      </c>
    </row>
    <row r="42" spans="2:55" x14ac:dyDescent="0.3">
      <c r="B42" s="11" t="s">
        <v>272</v>
      </c>
      <c r="C42" s="12">
        <v>2110528</v>
      </c>
      <c r="D42" s="13">
        <v>2</v>
      </c>
      <c r="E42" s="13">
        <v>8</v>
      </c>
      <c r="F42" s="11" t="s">
        <v>176</v>
      </c>
      <c r="G42" s="11" t="s">
        <v>177</v>
      </c>
      <c r="H42" s="11" t="s">
        <v>178</v>
      </c>
      <c r="I42" s="11" t="s">
        <v>198</v>
      </c>
      <c r="J42" s="4">
        <v>0.6</v>
      </c>
      <c r="K42" s="4">
        <v>0.77500000000000002</v>
      </c>
      <c r="L42" s="4">
        <v>0.67500000000000004</v>
      </c>
      <c r="M42" s="14">
        <v>220708</v>
      </c>
      <c r="N42" s="15">
        <v>250000</v>
      </c>
      <c r="O42" s="15">
        <v>220708</v>
      </c>
      <c r="P42" s="15">
        <v>920000</v>
      </c>
      <c r="Q42" s="3">
        <v>910000</v>
      </c>
      <c r="R42" s="5">
        <v>313.68493622888661</v>
      </c>
      <c r="S42" s="16">
        <v>4980</v>
      </c>
      <c r="T42" s="16">
        <v>2901</v>
      </c>
      <c r="U42" s="1">
        <v>531100</v>
      </c>
      <c r="V42" s="6">
        <v>183.07480179248535</v>
      </c>
      <c r="W42" s="23">
        <v>132424.79999999999</v>
      </c>
      <c r="X42" s="23">
        <v>407575.2</v>
      </c>
      <c r="Y42" s="31">
        <v>540000</v>
      </c>
      <c r="Z42" s="24">
        <v>0.59340659340659341</v>
      </c>
      <c r="AA42" s="24">
        <v>0.71826849408359583</v>
      </c>
      <c r="AB42" s="5">
        <v>449713</v>
      </c>
      <c r="AC42" s="17">
        <v>44491</v>
      </c>
      <c r="AD42" s="1">
        <v>132424.79999999999</v>
      </c>
      <c r="AE42" s="1">
        <v>317288.2</v>
      </c>
      <c r="AF42" s="26">
        <v>449713</v>
      </c>
      <c r="AG42" s="23">
        <v>0</v>
      </c>
      <c r="AH42" s="23">
        <v>0</v>
      </c>
      <c r="AI42" s="27">
        <v>0.83</v>
      </c>
      <c r="AJ42" s="23">
        <v>0</v>
      </c>
      <c r="AK42" s="23">
        <v>90287.000000000015</v>
      </c>
      <c r="AL42" s="23">
        <v>90287</v>
      </c>
      <c r="AM42" s="2">
        <v>449713</v>
      </c>
      <c r="AN42" s="2"/>
      <c r="AO42" s="28">
        <v>449713</v>
      </c>
      <c r="AP42" s="18"/>
      <c r="AQ42" s="18">
        <v>44802</v>
      </c>
      <c r="AR42" s="18">
        <v>44827</v>
      </c>
      <c r="AS42" s="11"/>
      <c r="AT42" s="2">
        <v>866666.66666666663</v>
      </c>
      <c r="AU42" s="2">
        <v>43333.333333333372</v>
      </c>
      <c r="AV42" s="2">
        <v>910000</v>
      </c>
      <c r="AW42" s="2"/>
      <c r="AX42" s="14">
        <v>86000</v>
      </c>
      <c r="AY42" s="29">
        <v>9.4505494505494503E-2</v>
      </c>
      <c r="AZ42" s="11" t="s">
        <v>273</v>
      </c>
      <c r="BA42" s="33">
        <v>0.98913043478260865</v>
      </c>
      <c r="BB42" s="19">
        <v>44233</v>
      </c>
      <c r="BC42" s="11"/>
    </row>
    <row r="43" spans="2:55" hidden="1" x14ac:dyDescent="0.3">
      <c r="B43" s="11" t="s">
        <v>274</v>
      </c>
      <c r="C43" s="12" t="s">
        <v>244</v>
      </c>
      <c r="D43" s="13">
        <v>1</v>
      </c>
      <c r="E43" s="13">
        <v>33</v>
      </c>
      <c r="F43" s="11" t="s">
        <v>239</v>
      </c>
      <c r="G43" s="11" t="s">
        <v>177</v>
      </c>
      <c r="H43" s="11" t="s">
        <v>178</v>
      </c>
      <c r="I43" s="11" t="s">
        <v>198</v>
      </c>
      <c r="J43" s="4">
        <v>0.5</v>
      </c>
      <c r="K43" s="4">
        <v>0.75</v>
      </c>
      <c r="L43" s="4">
        <v>0.65</v>
      </c>
      <c r="M43" s="14">
        <v>184000</v>
      </c>
      <c r="N43" s="15">
        <v>185000</v>
      </c>
      <c r="O43" s="15">
        <v>184000</v>
      </c>
      <c r="P43" s="15">
        <v>750000</v>
      </c>
      <c r="Q43" s="3">
        <v>750000</v>
      </c>
      <c r="R43" s="5">
        <v>255.18883974140863</v>
      </c>
      <c r="S43" s="16">
        <v>8860</v>
      </c>
      <c r="T43" s="16">
        <v>2939</v>
      </c>
      <c r="U43" s="1">
        <v>590900</v>
      </c>
      <c r="V43" s="6">
        <v>201.05478053759782</v>
      </c>
      <c r="W43" s="23">
        <v>92000</v>
      </c>
      <c r="X43" s="23">
        <v>395500</v>
      </c>
      <c r="Y43" s="31">
        <v>487500</v>
      </c>
      <c r="Z43" s="24">
        <v>0.65</v>
      </c>
      <c r="AA43" s="24">
        <v>0.62911343399148278</v>
      </c>
      <c r="AB43" s="5">
        <v>212731.5</v>
      </c>
      <c r="AC43" s="17">
        <v>44470</v>
      </c>
      <c r="AD43" s="1">
        <v>92000</v>
      </c>
      <c r="AE43" s="1">
        <v>120731.5</v>
      </c>
      <c r="AF43" s="26">
        <v>212731.5</v>
      </c>
      <c r="AG43" s="23">
        <v>0</v>
      </c>
      <c r="AH43" s="23">
        <v>0</v>
      </c>
      <c r="AI43" s="27">
        <v>0.53500000000000003</v>
      </c>
      <c r="AJ43" s="23">
        <v>0</v>
      </c>
      <c r="AK43" s="23">
        <v>274768.5</v>
      </c>
      <c r="AL43" s="23">
        <v>274768.5</v>
      </c>
      <c r="AM43" s="2">
        <v>212731.5</v>
      </c>
      <c r="AN43" s="2"/>
      <c r="AO43" s="28">
        <v>212731.5</v>
      </c>
      <c r="AP43" s="18"/>
      <c r="AQ43" s="18">
        <v>44803</v>
      </c>
      <c r="AR43" s="18">
        <v>44827</v>
      </c>
      <c r="AS43" s="11"/>
      <c r="AT43" s="2">
        <v>885637.84761904762</v>
      </c>
      <c r="AU43" s="2">
        <v>44281.892380952384</v>
      </c>
      <c r="AV43" s="2">
        <v>929919.74</v>
      </c>
      <c r="AW43" s="2"/>
      <c r="AX43" s="14">
        <v>94812</v>
      </c>
      <c r="AY43" s="29">
        <v>0.10195718611156701</v>
      </c>
      <c r="AZ43" s="11" t="s">
        <v>275</v>
      </c>
      <c r="BA43" s="33">
        <v>1.2398929866666666</v>
      </c>
      <c r="BB43" s="19">
        <v>44448</v>
      </c>
      <c r="BC43" s="11" t="s">
        <v>276</v>
      </c>
    </row>
    <row r="44" spans="2:55" x14ac:dyDescent="0.3">
      <c r="B44" s="11" t="s">
        <v>277</v>
      </c>
      <c r="C44" s="12">
        <v>2110528</v>
      </c>
      <c r="D44" s="13">
        <v>2</v>
      </c>
      <c r="E44" s="13">
        <v>9</v>
      </c>
      <c r="F44" s="11" t="s">
        <v>176</v>
      </c>
      <c r="G44" s="11" t="s">
        <v>177</v>
      </c>
      <c r="H44" s="11" t="s">
        <v>178</v>
      </c>
      <c r="I44" s="11" t="s">
        <v>198</v>
      </c>
      <c r="J44" s="4">
        <v>0.6</v>
      </c>
      <c r="K44" s="4">
        <v>0.77500000000000002</v>
      </c>
      <c r="L44" s="4">
        <v>0.67500000000000004</v>
      </c>
      <c r="M44" s="14">
        <v>242500</v>
      </c>
      <c r="N44" s="15">
        <v>300000</v>
      </c>
      <c r="O44" s="15">
        <v>242500</v>
      </c>
      <c r="P44" s="15">
        <v>1060000</v>
      </c>
      <c r="Q44" s="3">
        <v>863520</v>
      </c>
      <c r="R44" s="5">
        <v>271.12087912087912</v>
      </c>
      <c r="S44" s="16">
        <v>5413.380588</v>
      </c>
      <c r="T44" s="16">
        <v>3185</v>
      </c>
      <c r="U44" s="1">
        <v>572100</v>
      </c>
      <c r="V44" s="6">
        <v>179.62323390894821</v>
      </c>
      <c r="W44" s="23">
        <v>145500</v>
      </c>
      <c r="X44" s="23">
        <v>394500</v>
      </c>
      <c r="Y44" s="31">
        <v>540000</v>
      </c>
      <c r="Z44" s="24">
        <v>0.62534741523068371</v>
      </c>
      <c r="AA44" s="24">
        <v>0.66290203780996804</v>
      </c>
      <c r="AB44" s="5">
        <v>336904.5</v>
      </c>
      <c r="AC44" s="17">
        <v>44645</v>
      </c>
      <c r="AD44" s="1">
        <v>145500</v>
      </c>
      <c r="AE44" s="1">
        <v>191404.5</v>
      </c>
      <c r="AF44" s="26">
        <v>336904.5</v>
      </c>
      <c r="AG44" s="23">
        <v>0</v>
      </c>
      <c r="AH44" s="23">
        <v>0</v>
      </c>
      <c r="AI44" s="27">
        <v>0.64500000000000002</v>
      </c>
      <c r="AJ44" s="23">
        <v>0</v>
      </c>
      <c r="AK44" s="23">
        <v>203095.5</v>
      </c>
      <c r="AL44" s="23">
        <v>203095.5</v>
      </c>
      <c r="AM44" s="2">
        <v>336904.5</v>
      </c>
      <c r="AN44" s="2"/>
      <c r="AO44" s="28">
        <v>336904.5</v>
      </c>
      <c r="AP44" s="18">
        <v>44820</v>
      </c>
      <c r="AQ44" s="18">
        <v>44831</v>
      </c>
      <c r="AR44" s="18"/>
      <c r="AS44" s="11"/>
      <c r="AT44" s="2">
        <v>822400</v>
      </c>
      <c r="AU44" s="2">
        <v>41120</v>
      </c>
      <c r="AV44" s="2">
        <v>863520</v>
      </c>
      <c r="AW44" s="2"/>
      <c r="AX44" s="14">
        <v>80500</v>
      </c>
      <c r="AY44" s="29">
        <v>9.3223086900129704E-2</v>
      </c>
      <c r="AZ44" s="11" t="s">
        <v>278</v>
      </c>
      <c r="BA44" s="33">
        <v>0.8146415094339623</v>
      </c>
      <c r="BB44" s="19">
        <v>44294</v>
      </c>
      <c r="BC44" s="11"/>
    </row>
    <row r="45" spans="2:55" x14ac:dyDescent="0.3">
      <c r="B45" s="11" t="s">
        <v>279</v>
      </c>
      <c r="C45" s="12">
        <v>2110528</v>
      </c>
      <c r="D45" s="13">
        <v>2</v>
      </c>
      <c r="E45" s="13">
        <v>25</v>
      </c>
      <c r="F45" s="11" t="s">
        <v>176</v>
      </c>
      <c r="G45" s="11" t="s">
        <v>177</v>
      </c>
      <c r="H45" s="11" t="s">
        <v>178</v>
      </c>
      <c r="I45" s="11" t="s">
        <v>198</v>
      </c>
      <c r="J45" s="4">
        <v>0.6</v>
      </c>
      <c r="K45" s="4">
        <v>0.77500000000000002</v>
      </c>
      <c r="L45" s="4">
        <v>0.67500000000000004</v>
      </c>
      <c r="M45" s="14">
        <v>223100</v>
      </c>
      <c r="N45" s="15">
        <v>300000</v>
      </c>
      <c r="O45" s="15">
        <v>223100</v>
      </c>
      <c r="P45" s="15">
        <v>950000</v>
      </c>
      <c r="Q45" s="3">
        <v>889899.99</v>
      </c>
      <c r="R45" s="5">
        <v>313.89770370370371</v>
      </c>
      <c r="S45" s="16">
        <v>4980.0259740000001</v>
      </c>
      <c r="T45" s="16">
        <v>2835</v>
      </c>
      <c r="U45" s="1">
        <v>503400</v>
      </c>
      <c r="V45" s="6">
        <v>177.56613756613757</v>
      </c>
      <c r="W45" s="23">
        <v>133860</v>
      </c>
      <c r="X45" s="23">
        <v>429177.5</v>
      </c>
      <c r="Y45" s="31">
        <v>563037.5</v>
      </c>
      <c r="Z45" s="24">
        <v>0.63269750121022028</v>
      </c>
      <c r="AA45" s="24">
        <v>0.77500000000000002</v>
      </c>
      <c r="AB45" s="5">
        <v>510180.5</v>
      </c>
      <c r="AC45" s="17">
        <v>44645</v>
      </c>
      <c r="AD45" s="1">
        <v>133860</v>
      </c>
      <c r="AE45" s="1">
        <v>353283</v>
      </c>
      <c r="AF45" s="26">
        <v>487143</v>
      </c>
      <c r="AG45" s="23">
        <v>0</v>
      </c>
      <c r="AH45" s="23">
        <v>23037.5</v>
      </c>
      <c r="AI45" s="27">
        <v>0.89500000000000002</v>
      </c>
      <c r="AJ45" s="23">
        <v>0</v>
      </c>
      <c r="AK45" s="23">
        <v>52856.999999999993</v>
      </c>
      <c r="AL45" s="23">
        <v>75894.5</v>
      </c>
      <c r="AM45" s="2">
        <v>487143</v>
      </c>
      <c r="AN45" s="2"/>
      <c r="AO45" s="28">
        <v>487143</v>
      </c>
      <c r="AP45" s="18">
        <v>44820</v>
      </c>
      <c r="AQ45" s="18">
        <v>44840</v>
      </c>
      <c r="AR45" s="18">
        <v>44865</v>
      </c>
      <c r="AS45" s="11"/>
      <c r="AT45" s="2">
        <v>847523.79999999993</v>
      </c>
      <c r="AU45" s="2">
        <v>42376.190000000061</v>
      </c>
      <c r="AV45" s="2">
        <v>889899.99</v>
      </c>
      <c r="AW45" s="2"/>
      <c r="AX45" s="14">
        <v>90000</v>
      </c>
      <c r="AY45" s="29">
        <v>0.10113496012063108</v>
      </c>
      <c r="AZ45" s="11" t="s">
        <v>280</v>
      </c>
      <c r="BA45" s="33">
        <v>0.93673683157894738</v>
      </c>
      <c r="BB45" s="19">
        <v>44322</v>
      </c>
      <c r="BC45" s="11"/>
    </row>
    <row r="46" spans="2:55" x14ac:dyDescent="0.3">
      <c r="B46" s="11" t="s">
        <v>281</v>
      </c>
      <c r="C46" s="12">
        <v>2110528</v>
      </c>
      <c r="D46" s="13">
        <v>2</v>
      </c>
      <c r="E46" s="13">
        <v>10</v>
      </c>
      <c r="F46" s="11" t="s">
        <v>176</v>
      </c>
      <c r="G46" s="11" t="s">
        <v>177</v>
      </c>
      <c r="H46" s="11" t="s">
        <v>178</v>
      </c>
      <c r="I46" s="11" t="s">
        <v>198</v>
      </c>
      <c r="J46" s="4">
        <v>0.6</v>
      </c>
      <c r="K46" s="4">
        <v>0.77500000000000002</v>
      </c>
      <c r="L46" s="4">
        <v>0.67500000000000004</v>
      </c>
      <c r="M46" s="14">
        <v>223100</v>
      </c>
      <c r="N46" s="15">
        <v>300000</v>
      </c>
      <c r="O46" s="15">
        <v>223100</v>
      </c>
      <c r="P46" s="15">
        <v>1070000</v>
      </c>
      <c r="Q46" s="3">
        <v>976002.3</v>
      </c>
      <c r="R46" s="5">
        <v>309.64539974619294</v>
      </c>
      <c r="S46" s="16">
        <v>4980.0259740000001</v>
      </c>
      <c r="T46" s="16">
        <v>3152</v>
      </c>
      <c r="U46" s="1">
        <v>651100</v>
      </c>
      <c r="V46" s="6">
        <v>206.56725888324874</v>
      </c>
      <c r="W46" s="23">
        <v>133860</v>
      </c>
      <c r="X46" s="23">
        <v>473640</v>
      </c>
      <c r="Y46" s="31">
        <v>607500</v>
      </c>
      <c r="Z46" s="24">
        <v>0.62243705778152369</v>
      </c>
      <c r="AA46" s="24">
        <v>0.69492107069320519</v>
      </c>
      <c r="AB46" s="5">
        <v>607500</v>
      </c>
      <c r="AC46" s="17">
        <v>44645</v>
      </c>
      <c r="AD46" s="1">
        <v>133860</v>
      </c>
      <c r="AE46" s="1">
        <v>473640</v>
      </c>
      <c r="AF46" s="26">
        <v>607500</v>
      </c>
      <c r="AG46" s="23">
        <v>0</v>
      </c>
      <c r="AH46" s="23">
        <v>0</v>
      </c>
      <c r="AI46" s="27">
        <v>1</v>
      </c>
      <c r="AJ46" s="23">
        <v>0</v>
      </c>
      <c r="AK46" s="23">
        <v>0</v>
      </c>
      <c r="AL46" s="23">
        <v>0</v>
      </c>
      <c r="AM46" s="2">
        <v>607500</v>
      </c>
      <c r="AN46" s="2"/>
      <c r="AO46" s="28">
        <v>607500</v>
      </c>
      <c r="AP46" s="18">
        <v>44949</v>
      </c>
      <c r="AQ46" s="18">
        <v>44959</v>
      </c>
      <c r="AR46" s="18">
        <v>44991</v>
      </c>
      <c r="AS46" s="11"/>
      <c r="AT46" s="2">
        <v>929526</v>
      </c>
      <c r="AU46" s="2">
        <v>46476.300000000047</v>
      </c>
      <c r="AV46" s="2">
        <v>976002.3</v>
      </c>
      <c r="AW46" s="2"/>
      <c r="AX46" s="14">
        <v>120427.5</v>
      </c>
      <c r="AY46" s="29">
        <v>0.12338854119503612</v>
      </c>
      <c r="AZ46" s="11" t="s">
        <v>282</v>
      </c>
      <c r="BA46" s="33">
        <v>0.9121516822429907</v>
      </c>
      <c r="BB46" s="19">
        <v>44397</v>
      </c>
      <c r="BC46" s="11"/>
    </row>
    <row r="47" spans="2:55" x14ac:dyDescent="0.3">
      <c r="B47" s="11" t="s">
        <v>283</v>
      </c>
      <c r="C47" s="12">
        <v>2110528</v>
      </c>
      <c r="D47" s="13">
        <v>6</v>
      </c>
      <c r="E47" s="13">
        <v>21</v>
      </c>
      <c r="F47" s="11" t="s">
        <v>176</v>
      </c>
      <c r="G47" s="11" t="s">
        <v>177</v>
      </c>
      <c r="H47" s="11" t="s">
        <v>178</v>
      </c>
      <c r="I47" s="11" t="s">
        <v>198</v>
      </c>
      <c r="J47" s="4">
        <v>0.6</v>
      </c>
      <c r="K47" s="4">
        <v>0.77500000000000002</v>
      </c>
      <c r="L47" s="4">
        <v>0.67500000000000004</v>
      </c>
      <c r="M47" s="14">
        <v>191250</v>
      </c>
      <c r="N47" s="15">
        <v>300000</v>
      </c>
      <c r="O47" s="15">
        <v>191250</v>
      </c>
      <c r="P47" s="15">
        <v>785000</v>
      </c>
      <c r="Q47" s="3">
        <v>700000</v>
      </c>
      <c r="R47" s="5">
        <v>291.54518950437318</v>
      </c>
      <c r="S47" s="16">
        <v>5184.5400740000005</v>
      </c>
      <c r="T47" s="16">
        <v>2401</v>
      </c>
      <c r="U47" s="1">
        <v>423100</v>
      </c>
      <c r="V47" s="6">
        <v>176.21824239900042</v>
      </c>
      <c r="W47" s="23">
        <v>114750</v>
      </c>
      <c r="X47" s="23">
        <v>357750.00000000006</v>
      </c>
      <c r="Y47" s="31">
        <v>472500.00000000006</v>
      </c>
      <c r="Z47" s="24">
        <v>0.67500000000000004</v>
      </c>
      <c r="AA47" s="24">
        <v>0.76910555872059905</v>
      </c>
      <c r="AB47" s="5">
        <v>375187</v>
      </c>
      <c r="AC47" s="17">
        <v>44645</v>
      </c>
      <c r="AD47" s="1">
        <v>114750</v>
      </c>
      <c r="AE47" s="1">
        <v>260437</v>
      </c>
      <c r="AF47" s="26">
        <v>375187</v>
      </c>
      <c r="AG47" s="23">
        <v>0</v>
      </c>
      <c r="AH47" s="23">
        <v>0</v>
      </c>
      <c r="AI47" s="27">
        <v>0.77</v>
      </c>
      <c r="AJ47" s="23">
        <v>0</v>
      </c>
      <c r="AK47" s="23">
        <v>97312.999999999985</v>
      </c>
      <c r="AL47" s="23">
        <v>97313.000000000058</v>
      </c>
      <c r="AM47" s="2">
        <v>375187</v>
      </c>
      <c r="AN47" s="2"/>
      <c r="AO47" s="28">
        <v>375187</v>
      </c>
      <c r="AP47" s="18">
        <v>44949</v>
      </c>
      <c r="AQ47" s="18">
        <v>44960</v>
      </c>
      <c r="AR47" s="18"/>
      <c r="AS47" s="11"/>
      <c r="AT47" s="2">
        <v>666666.66666666663</v>
      </c>
      <c r="AU47" s="2">
        <v>33333.333333333372</v>
      </c>
      <c r="AV47" s="2">
        <v>700000</v>
      </c>
      <c r="AW47" s="2"/>
      <c r="AX47" s="14">
        <v>69000</v>
      </c>
      <c r="AY47" s="29">
        <v>9.8571428571428574E-2</v>
      </c>
      <c r="AZ47" s="11" t="s">
        <v>284</v>
      </c>
      <c r="BA47" s="33">
        <v>0.89171974522292996</v>
      </c>
      <c r="BB47" s="19">
        <v>44481</v>
      </c>
      <c r="BC47" s="11"/>
    </row>
    <row r="48" spans="2:55" hidden="1" x14ac:dyDescent="0.3">
      <c r="B48" s="11" t="s">
        <v>285</v>
      </c>
      <c r="C48" s="12" t="s">
        <v>286</v>
      </c>
      <c r="D48" s="13">
        <v>10</v>
      </c>
      <c r="E48" s="13">
        <v>7</v>
      </c>
      <c r="F48" s="11" t="s">
        <v>203</v>
      </c>
      <c r="G48" s="11" t="s">
        <v>177</v>
      </c>
      <c r="H48" s="11" t="s">
        <v>178</v>
      </c>
      <c r="I48" s="11" t="s">
        <v>198</v>
      </c>
      <c r="J48" s="4">
        <v>0.5</v>
      </c>
      <c r="K48" s="4">
        <v>0.72499999999999998</v>
      </c>
      <c r="L48" s="4">
        <v>0.625</v>
      </c>
      <c r="M48" s="14">
        <v>85000</v>
      </c>
      <c r="N48" s="15">
        <v>85000</v>
      </c>
      <c r="O48" s="15">
        <v>85000</v>
      </c>
      <c r="P48" s="15">
        <v>605000</v>
      </c>
      <c r="Q48" s="3">
        <v>605000</v>
      </c>
      <c r="R48" s="5">
        <v>344.72934472934475</v>
      </c>
      <c r="S48" s="16">
        <v>9314</v>
      </c>
      <c r="T48" s="16">
        <v>1755</v>
      </c>
      <c r="U48" s="1">
        <v>491900</v>
      </c>
      <c r="V48" s="6">
        <v>280.28490028490029</v>
      </c>
      <c r="W48" s="23">
        <v>42500</v>
      </c>
      <c r="X48" s="23">
        <v>332500</v>
      </c>
      <c r="Y48" s="31">
        <v>375000</v>
      </c>
      <c r="Z48" s="24">
        <v>0.6198347107438017</v>
      </c>
      <c r="AA48" s="24">
        <v>0.6500260010400416</v>
      </c>
      <c r="AB48" s="5">
        <v>345486</v>
      </c>
      <c r="AC48" s="17">
        <v>44470</v>
      </c>
      <c r="AD48" s="1">
        <v>42500</v>
      </c>
      <c r="AE48" s="1">
        <v>302986</v>
      </c>
      <c r="AF48" s="26">
        <v>345486</v>
      </c>
      <c r="AG48" s="23">
        <v>0</v>
      </c>
      <c r="AH48" s="23">
        <v>0</v>
      </c>
      <c r="AI48" s="27">
        <v>0.94</v>
      </c>
      <c r="AJ48" s="23">
        <v>0</v>
      </c>
      <c r="AK48" s="23">
        <v>29514.000000000025</v>
      </c>
      <c r="AL48" s="23">
        <v>29514</v>
      </c>
      <c r="AM48" s="2">
        <v>345486</v>
      </c>
      <c r="AN48" s="2"/>
      <c r="AO48" s="28">
        <v>345486</v>
      </c>
      <c r="AP48" s="18">
        <v>44973</v>
      </c>
      <c r="AQ48" s="18">
        <v>44980</v>
      </c>
      <c r="AR48" s="18">
        <v>45014</v>
      </c>
      <c r="AS48" s="11"/>
      <c r="AT48" s="2">
        <v>576200</v>
      </c>
      <c r="AU48" s="2">
        <v>28810</v>
      </c>
      <c r="AV48" s="2">
        <v>605010</v>
      </c>
      <c r="AW48" s="2">
        <v>46616.88</v>
      </c>
      <c r="AX48" s="14">
        <v>60501</v>
      </c>
      <c r="AY48" s="29">
        <v>0.1</v>
      </c>
      <c r="AZ48" s="11" t="s">
        <v>287</v>
      </c>
      <c r="BA48" s="33">
        <v>1.0000165289256198</v>
      </c>
      <c r="BB48" s="19">
        <v>44266</v>
      </c>
      <c r="BC48" s="11"/>
    </row>
    <row r="49" spans="2:55" x14ac:dyDescent="0.3">
      <c r="B49" s="11" t="s">
        <v>288</v>
      </c>
      <c r="C49" s="12">
        <v>2110528</v>
      </c>
      <c r="D49" s="13">
        <v>2</v>
      </c>
      <c r="E49" s="13">
        <v>11</v>
      </c>
      <c r="F49" s="11" t="s">
        <v>176</v>
      </c>
      <c r="G49" s="11" t="s">
        <v>177</v>
      </c>
      <c r="H49" s="11" t="s">
        <v>178</v>
      </c>
      <c r="I49" s="11" t="s">
        <v>198</v>
      </c>
      <c r="J49" s="4">
        <v>0.6</v>
      </c>
      <c r="K49" s="4">
        <v>0.77500000000000002</v>
      </c>
      <c r="L49" s="4">
        <v>0.67500000000000004</v>
      </c>
      <c r="M49" s="14">
        <v>223100</v>
      </c>
      <c r="N49" s="15">
        <v>300000</v>
      </c>
      <c r="O49" s="15">
        <v>223100</v>
      </c>
      <c r="P49" s="15">
        <v>1050000</v>
      </c>
      <c r="Q49" s="3">
        <v>952776.25</v>
      </c>
      <c r="R49" s="5">
        <v>313.10425566874795</v>
      </c>
      <c r="S49" s="16">
        <v>4980.0259740000001</v>
      </c>
      <c r="T49" s="16">
        <v>3043</v>
      </c>
      <c r="U49" s="1">
        <v>652100</v>
      </c>
      <c r="V49" s="6">
        <v>214.29510351626683</v>
      </c>
      <c r="W49" s="23">
        <v>133860</v>
      </c>
      <c r="X49" s="23">
        <v>473640</v>
      </c>
      <c r="Y49" s="31">
        <v>607500</v>
      </c>
      <c r="Z49" s="24">
        <v>0.63761035185333392</v>
      </c>
      <c r="AA49" s="24">
        <v>0.69412705667276053</v>
      </c>
      <c r="AB49" s="5">
        <v>574895</v>
      </c>
      <c r="AC49" s="17">
        <v>44645</v>
      </c>
      <c r="AD49" s="1">
        <v>133860</v>
      </c>
      <c r="AE49" s="1">
        <v>441035</v>
      </c>
      <c r="AF49" s="26">
        <v>574895</v>
      </c>
      <c r="AG49" s="23">
        <v>0</v>
      </c>
      <c r="AH49" s="23">
        <v>0</v>
      </c>
      <c r="AI49" s="27">
        <v>0.95</v>
      </c>
      <c r="AJ49" s="23">
        <v>0</v>
      </c>
      <c r="AK49" s="23">
        <v>32605.000000000029</v>
      </c>
      <c r="AL49" s="23">
        <v>32605</v>
      </c>
      <c r="AM49" s="2">
        <v>574895</v>
      </c>
      <c r="AN49" s="2"/>
      <c r="AO49" s="28">
        <v>574895</v>
      </c>
      <c r="AP49" s="18">
        <v>44985</v>
      </c>
      <c r="AQ49" s="18">
        <v>44986</v>
      </c>
      <c r="AR49" s="18">
        <v>45019</v>
      </c>
      <c r="AS49" s="11"/>
      <c r="AT49" s="2">
        <v>907405.95238095231</v>
      </c>
      <c r="AU49" s="2">
        <v>45370.297619047691</v>
      </c>
      <c r="AV49" s="2">
        <v>952776.25</v>
      </c>
      <c r="AW49" s="2"/>
      <c r="AX49" s="14">
        <v>100000</v>
      </c>
      <c r="AY49" s="29">
        <v>0.1049564365190673</v>
      </c>
      <c r="AZ49" s="11" t="s">
        <v>289</v>
      </c>
      <c r="BA49" s="33">
        <v>0.90740595238095234</v>
      </c>
      <c r="BB49" s="19">
        <v>44546</v>
      </c>
      <c r="BC49" s="11"/>
    </row>
    <row r="50" spans="2:55" x14ac:dyDescent="0.3">
      <c r="B50" s="11" t="s">
        <v>290</v>
      </c>
      <c r="C50" s="12">
        <v>2110528</v>
      </c>
      <c r="D50" s="13">
        <v>2</v>
      </c>
      <c r="E50" s="13">
        <v>6</v>
      </c>
      <c r="F50" s="11" t="s">
        <v>176</v>
      </c>
      <c r="G50" s="11" t="s">
        <v>177</v>
      </c>
      <c r="H50" s="11" t="s">
        <v>178</v>
      </c>
      <c r="I50" s="11" t="s">
        <v>198</v>
      </c>
      <c r="J50" s="4">
        <v>0.6</v>
      </c>
      <c r="K50" s="4">
        <v>0.77500000000000002</v>
      </c>
      <c r="L50" s="4">
        <v>0.67500000000000004</v>
      </c>
      <c r="M50" s="14">
        <v>239900</v>
      </c>
      <c r="N50" s="15">
        <v>250000</v>
      </c>
      <c r="O50" s="15">
        <v>239900</v>
      </c>
      <c r="P50" s="15">
        <v>860000</v>
      </c>
      <c r="Q50" s="3">
        <v>849999.99</v>
      </c>
      <c r="R50" s="5">
        <v>276.33289661898567</v>
      </c>
      <c r="S50" s="16">
        <v>5413</v>
      </c>
      <c r="T50" s="16">
        <v>3076</v>
      </c>
      <c r="U50" s="1">
        <v>435000</v>
      </c>
      <c r="V50" s="6">
        <v>141.41742522756826</v>
      </c>
      <c r="W50" s="23">
        <v>143940</v>
      </c>
      <c r="X50" s="23">
        <v>379107.5</v>
      </c>
      <c r="Y50" s="31">
        <v>523047.5</v>
      </c>
      <c r="Z50" s="24">
        <v>0.61535000723941191</v>
      </c>
      <c r="AA50" s="24">
        <v>0.77500000000000002</v>
      </c>
      <c r="AB50" s="5">
        <v>496947.5</v>
      </c>
      <c r="AC50" s="17">
        <v>44582</v>
      </c>
      <c r="AD50" s="1">
        <v>143940</v>
      </c>
      <c r="AE50" s="1">
        <v>353007.5</v>
      </c>
      <c r="AF50" s="26">
        <v>496947.5</v>
      </c>
      <c r="AG50" s="23">
        <v>0</v>
      </c>
      <c r="AH50" s="23">
        <v>0</v>
      </c>
      <c r="AI50" s="27">
        <v>0.94</v>
      </c>
      <c r="AJ50" s="23">
        <v>0</v>
      </c>
      <c r="AK50" s="23">
        <v>26100.000000000022</v>
      </c>
      <c r="AL50" s="23">
        <v>26100</v>
      </c>
      <c r="AM50" s="2">
        <v>496947.5</v>
      </c>
      <c r="AN50" s="2"/>
      <c r="AO50" s="28">
        <v>496947.5</v>
      </c>
      <c r="AP50" s="18">
        <v>45022</v>
      </c>
      <c r="AQ50" s="18">
        <v>45029</v>
      </c>
      <c r="AR50" s="18"/>
      <c r="AS50" s="11"/>
      <c r="AT50" s="2">
        <v>809523.79999999993</v>
      </c>
      <c r="AU50" s="2">
        <v>40476.190000000061</v>
      </c>
      <c r="AV50" s="2">
        <v>849999.99</v>
      </c>
      <c r="AW50" s="2"/>
      <c r="AX50" s="14">
        <v>85000</v>
      </c>
      <c r="AY50" s="29">
        <v>0.10000000117647061</v>
      </c>
      <c r="AZ50" s="11" t="s">
        <v>291</v>
      </c>
      <c r="BA50" s="33">
        <v>0.98837208139534882</v>
      </c>
      <c r="BB50" s="19">
        <v>44168</v>
      </c>
      <c r="BC50" s="11"/>
    </row>
    <row r="51" spans="2:55" x14ac:dyDescent="0.3">
      <c r="B51" s="11" t="s">
        <v>292</v>
      </c>
      <c r="C51" s="12">
        <v>2110528</v>
      </c>
      <c r="D51" s="13">
        <v>2</v>
      </c>
      <c r="E51" s="13">
        <v>17</v>
      </c>
      <c r="F51" s="11" t="s">
        <v>176</v>
      </c>
      <c r="G51" s="11" t="s">
        <v>177</v>
      </c>
      <c r="H51" s="11" t="s">
        <v>178</v>
      </c>
      <c r="I51" s="11" t="s">
        <v>198</v>
      </c>
      <c r="J51" s="4">
        <v>0.6</v>
      </c>
      <c r="K51" s="4">
        <v>0.77500000000000002</v>
      </c>
      <c r="L51" s="4">
        <v>0.67500000000000004</v>
      </c>
      <c r="M51" s="14">
        <v>218250</v>
      </c>
      <c r="N51" s="15">
        <v>300000</v>
      </c>
      <c r="O51" s="15">
        <v>218250</v>
      </c>
      <c r="P51" s="15">
        <v>990000</v>
      </c>
      <c r="Q51" s="3">
        <v>968210.25</v>
      </c>
      <c r="R51" s="5">
        <v>307.07588011417698</v>
      </c>
      <c r="S51" s="16">
        <v>4886.8105999999998</v>
      </c>
      <c r="T51" s="16">
        <v>3153</v>
      </c>
      <c r="U51" s="1">
        <v>537600</v>
      </c>
      <c r="V51" s="6">
        <v>170.50428163653663</v>
      </c>
      <c r="W51" s="23">
        <v>130950</v>
      </c>
      <c r="X51" s="23">
        <v>454833.75</v>
      </c>
      <c r="Y51" s="31">
        <v>585783.75</v>
      </c>
      <c r="Z51" s="24">
        <v>0.60501709210370369</v>
      </c>
      <c r="AA51" s="24">
        <v>0.77500000000000002</v>
      </c>
      <c r="AB51" s="5">
        <v>545463.75</v>
      </c>
      <c r="AC51" s="17">
        <v>44645</v>
      </c>
      <c r="AD51" s="1">
        <v>130950</v>
      </c>
      <c r="AE51" s="1">
        <v>414513.75</v>
      </c>
      <c r="AF51" s="26">
        <v>545463.75</v>
      </c>
      <c r="AG51" s="23">
        <v>0</v>
      </c>
      <c r="AH51" s="23">
        <v>0</v>
      </c>
      <c r="AI51" s="27">
        <v>0.92500000000000004</v>
      </c>
      <c r="AJ51" s="23">
        <v>0</v>
      </c>
      <c r="AK51" s="23">
        <v>40319.999999999978</v>
      </c>
      <c r="AL51" s="23">
        <v>40320</v>
      </c>
      <c r="AM51" s="2">
        <v>545463.75</v>
      </c>
      <c r="AN51" s="2"/>
      <c r="AO51" s="28">
        <v>545463.75</v>
      </c>
      <c r="AP51" s="18">
        <v>45063</v>
      </c>
      <c r="AQ51" s="18">
        <v>45089</v>
      </c>
      <c r="AR51" s="18">
        <v>45117</v>
      </c>
      <c r="AS51" s="11"/>
      <c r="AT51" s="2">
        <v>922105</v>
      </c>
      <c r="AU51" s="2">
        <v>46105.25</v>
      </c>
      <c r="AV51" s="2">
        <v>968210.25</v>
      </c>
      <c r="AW51" s="2"/>
      <c r="AX51" s="14">
        <v>80410.510000000009</v>
      </c>
      <c r="AY51" s="29">
        <v>8.3050670037835284E-2</v>
      </c>
      <c r="AZ51" s="11" t="s">
        <v>293</v>
      </c>
      <c r="BA51" s="33">
        <v>0.97799015151515156</v>
      </c>
      <c r="BB51" s="19">
        <v>44506</v>
      </c>
      <c r="BC51" s="11"/>
    </row>
    <row r="52" spans="2:55" x14ac:dyDescent="0.3">
      <c r="B52" s="11" t="s">
        <v>294</v>
      </c>
      <c r="C52" s="12">
        <v>2110528</v>
      </c>
      <c r="D52" s="13">
        <v>2</v>
      </c>
      <c r="E52" s="13">
        <v>19</v>
      </c>
      <c r="F52" s="11" t="s">
        <v>176</v>
      </c>
      <c r="G52" s="11" t="s">
        <v>177</v>
      </c>
      <c r="H52" s="11" t="s">
        <v>178</v>
      </c>
      <c r="I52" s="11" t="s">
        <v>198</v>
      </c>
      <c r="J52" s="4">
        <v>0.6</v>
      </c>
      <c r="K52" s="4">
        <v>0.77500000000000002</v>
      </c>
      <c r="L52" s="4">
        <v>0.67500000000000004</v>
      </c>
      <c r="M52" s="14">
        <v>215910</v>
      </c>
      <c r="N52" s="15">
        <v>300000</v>
      </c>
      <c r="O52" s="15">
        <v>215910</v>
      </c>
      <c r="P52" s="15">
        <v>990000</v>
      </c>
      <c r="Q52" s="3">
        <v>940825.2</v>
      </c>
      <c r="R52" s="5">
        <v>296.41625708884686</v>
      </c>
      <c r="S52" s="16">
        <v>4898.3279729999995</v>
      </c>
      <c r="T52" s="16">
        <v>3174</v>
      </c>
      <c r="U52" s="1">
        <v>531600</v>
      </c>
      <c r="V52" s="6">
        <v>167.48582230623819</v>
      </c>
      <c r="W52" s="23">
        <v>129546</v>
      </c>
      <c r="X52" s="23">
        <v>449774.25</v>
      </c>
      <c r="Y52" s="31">
        <v>579320.25</v>
      </c>
      <c r="Z52" s="24">
        <v>0.61575758174844808</v>
      </c>
      <c r="AA52" s="24">
        <v>0.77500000000000002</v>
      </c>
      <c r="AB52" s="5">
        <v>579320.25</v>
      </c>
      <c r="AC52" s="17">
        <v>44645</v>
      </c>
      <c r="AD52" s="1">
        <v>129546</v>
      </c>
      <c r="AE52" s="1">
        <v>449774.25000000006</v>
      </c>
      <c r="AF52" s="26">
        <v>579320.25</v>
      </c>
      <c r="AG52" s="23">
        <v>0</v>
      </c>
      <c r="AH52" s="23">
        <v>0</v>
      </c>
      <c r="AI52" s="27">
        <v>1</v>
      </c>
      <c r="AJ52" s="23">
        <v>0</v>
      </c>
      <c r="AK52" s="23">
        <v>0</v>
      </c>
      <c r="AL52" s="23">
        <v>0</v>
      </c>
      <c r="AM52" s="2">
        <v>579320.25</v>
      </c>
      <c r="AN52" s="2"/>
      <c r="AO52" s="28">
        <v>579320.25</v>
      </c>
      <c r="AP52" s="18">
        <v>45089</v>
      </c>
      <c r="AQ52" s="18">
        <v>45096</v>
      </c>
      <c r="AR52" s="18">
        <v>45131</v>
      </c>
      <c r="AS52" s="11"/>
      <c r="AT52" s="2">
        <v>896023.99999999988</v>
      </c>
      <c r="AU52" s="2">
        <v>44801.20000000007</v>
      </c>
      <c r="AV52" s="2">
        <v>940825.2</v>
      </c>
      <c r="AW52" s="2"/>
      <c r="AX52" s="14">
        <v>185000</v>
      </c>
      <c r="AY52" s="29">
        <v>0.19663588942983246</v>
      </c>
      <c r="AZ52" s="11" t="s">
        <v>295</v>
      </c>
      <c r="BA52" s="33">
        <v>0.95032848484848476</v>
      </c>
      <c r="BB52" s="19">
        <v>44507</v>
      </c>
      <c r="BC52" s="11"/>
    </row>
    <row r="53" spans="2:55" x14ac:dyDescent="0.3">
      <c r="B53" s="11" t="s">
        <v>296</v>
      </c>
      <c r="C53" s="12">
        <v>2210618</v>
      </c>
      <c r="D53" s="13">
        <v>2</v>
      </c>
      <c r="E53" s="13">
        <v>31</v>
      </c>
      <c r="F53" s="11" t="s">
        <v>176</v>
      </c>
      <c r="G53" s="11" t="s">
        <v>177</v>
      </c>
      <c r="H53" s="11" t="s">
        <v>178</v>
      </c>
      <c r="I53" s="11" t="s">
        <v>198</v>
      </c>
      <c r="J53" s="4">
        <v>0.6</v>
      </c>
      <c r="K53" s="4">
        <v>0.77500000000000002</v>
      </c>
      <c r="L53" s="4">
        <v>0.67500000000000004</v>
      </c>
      <c r="M53" s="14">
        <v>245000</v>
      </c>
      <c r="N53" s="15">
        <v>300000</v>
      </c>
      <c r="O53" s="15">
        <v>245000</v>
      </c>
      <c r="P53" s="15">
        <v>915000</v>
      </c>
      <c r="Q53" s="3">
        <v>906885</v>
      </c>
      <c r="R53" s="5">
        <v>322.73487544483987</v>
      </c>
      <c r="S53" s="16">
        <v>4886.8105999999998</v>
      </c>
      <c r="T53" s="16">
        <v>2810</v>
      </c>
      <c r="U53" s="1">
        <v>507600</v>
      </c>
      <c r="V53" s="6">
        <v>180.64056939501779</v>
      </c>
      <c r="W53" s="23">
        <v>147000</v>
      </c>
      <c r="X53" s="23">
        <v>436265</v>
      </c>
      <c r="Y53" s="31">
        <v>583265</v>
      </c>
      <c r="Z53" s="24">
        <v>0.6431521085914973</v>
      </c>
      <c r="AA53" s="24">
        <v>0.77500000000000002</v>
      </c>
      <c r="AB53" s="5">
        <v>532505</v>
      </c>
      <c r="AC53" s="17">
        <v>44886</v>
      </c>
      <c r="AD53" s="1">
        <v>147000</v>
      </c>
      <c r="AE53" s="1">
        <v>385505</v>
      </c>
      <c r="AF53" s="26">
        <v>532505</v>
      </c>
      <c r="AG53" s="23">
        <v>0</v>
      </c>
      <c r="AH53" s="23">
        <v>0</v>
      </c>
      <c r="AI53" s="27">
        <v>0.9</v>
      </c>
      <c r="AJ53" s="23">
        <v>0</v>
      </c>
      <c r="AK53" s="23">
        <v>50759.999999999985</v>
      </c>
      <c r="AL53" s="23">
        <v>50760</v>
      </c>
      <c r="AM53" s="2">
        <v>532505</v>
      </c>
      <c r="AN53" s="2"/>
      <c r="AO53" s="28">
        <v>532505</v>
      </c>
      <c r="AP53" s="18">
        <v>45097</v>
      </c>
      <c r="AQ53" s="18">
        <v>45103</v>
      </c>
      <c r="AR53" s="18">
        <v>45131</v>
      </c>
      <c r="AS53" s="11"/>
      <c r="AT53" s="2">
        <v>863700</v>
      </c>
      <c r="AU53" s="2">
        <v>43185</v>
      </c>
      <c r="AV53" s="2">
        <v>906885</v>
      </c>
      <c r="AW53" s="2"/>
      <c r="AX53" s="14">
        <v>45350</v>
      </c>
      <c r="AY53" s="29">
        <v>5.0006340384944066E-2</v>
      </c>
      <c r="AZ53" s="11" t="s">
        <v>297</v>
      </c>
      <c r="BA53" s="33">
        <v>0.99113114754098364</v>
      </c>
      <c r="BB53" s="19">
        <v>44511</v>
      </c>
      <c r="BC53" s="11" t="s">
        <v>298</v>
      </c>
    </row>
    <row r="54" spans="2:55" hidden="1" x14ac:dyDescent="0.3">
      <c r="B54" s="11" t="s">
        <v>299</v>
      </c>
      <c r="C54" s="12">
        <v>2012107</v>
      </c>
      <c r="D54" s="13">
        <v>8</v>
      </c>
      <c r="E54" s="13">
        <v>9</v>
      </c>
      <c r="F54" s="11" t="s">
        <v>176</v>
      </c>
      <c r="G54" s="11" t="s">
        <v>177</v>
      </c>
      <c r="H54" s="11" t="s">
        <v>178</v>
      </c>
      <c r="I54" s="11" t="s">
        <v>198</v>
      </c>
      <c r="J54" s="4">
        <v>0.6</v>
      </c>
      <c r="K54" s="4">
        <v>0.77500000000000002</v>
      </c>
      <c r="L54" s="4">
        <v>0.67500000000000004</v>
      </c>
      <c r="M54" s="14">
        <v>232900</v>
      </c>
      <c r="N54" s="15">
        <v>275000</v>
      </c>
      <c r="O54" s="15">
        <v>232900</v>
      </c>
      <c r="P54" s="15">
        <v>900000</v>
      </c>
      <c r="Q54" s="3">
        <v>895156.5</v>
      </c>
      <c r="R54" s="5">
        <v>358.3492794235388</v>
      </c>
      <c r="S54" s="16">
        <v>5620.9085800000003</v>
      </c>
      <c r="T54" s="16">
        <v>2498</v>
      </c>
      <c r="U54" s="1">
        <v>509900</v>
      </c>
      <c r="V54" s="6">
        <v>204.12329863891114</v>
      </c>
      <c r="W54" s="23">
        <v>139740</v>
      </c>
      <c r="X54" s="23">
        <v>435930</v>
      </c>
      <c r="Y54" s="31">
        <v>575670</v>
      </c>
      <c r="Z54" s="24">
        <v>0.64309425223410654</v>
      </c>
      <c r="AA54" s="24">
        <v>0.77500000000000002</v>
      </c>
      <c r="AB54" s="5">
        <v>463492</v>
      </c>
      <c r="AC54" s="17">
        <v>44939</v>
      </c>
      <c r="AD54" s="1">
        <v>139740</v>
      </c>
      <c r="AE54" s="1">
        <v>323752</v>
      </c>
      <c r="AF54" s="26">
        <v>463492</v>
      </c>
      <c r="AG54" s="23">
        <v>0</v>
      </c>
      <c r="AH54" s="23">
        <v>0</v>
      </c>
      <c r="AI54" s="27">
        <v>0.78</v>
      </c>
      <c r="AJ54" s="23">
        <v>0</v>
      </c>
      <c r="AK54" s="23">
        <v>112177.99999999999</v>
      </c>
      <c r="AL54" s="23">
        <v>112178</v>
      </c>
      <c r="AM54" s="2">
        <v>463492</v>
      </c>
      <c r="AN54" s="2"/>
      <c r="AO54" s="28">
        <v>463492</v>
      </c>
      <c r="AP54" s="18">
        <v>45098</v>
      </c>
      <c r="AQ54" s="18">
        <v>45107</v>
      </c>
      <c r="AR54" s="18">
        <v>45131</v>
      </c>
      <c r="AS54" s="11"/>
      <c r="AT54" s="2">
        <v>852530</v>
      </c>
      <c r="AU54" s="2">
        <v>42626.5</v>
      </c>
      <c r="AV54" s="2">
        <v>895156.5</v>
      </c>
      <c r="AW54" s="2"/>
      <c r="AX54" s="14">
        <v>88547.66</v>
      </c>
      <c r="AY54" s="29">
        <v>9.8918636015043179E-2</v>
      </c>
      <c r="AZ54" s="11" t="s">
        <v>300</v>
      </c>
      <c r="BA54" s="33">
        <v>0.99461833333333338</v>
      </c>
      <c r="BB54" s="19">
        <v>44553</v>
      </c>
      <c r="BC54" s="11"/>
    </row>
    <row r="55" spans="2:55" x14ac:dyDescent="0.3">
      <c r="B55" s="11" t="s">
        <v>301</v>
      </c>
      <c r="C55" s="12">
        <v>2210618</v>
      </c>
      <c r="D55" s="13">
        <v>2</v>
      </c>
      <c r="E55" s="13">
        <v>33</v>
      </c>
      <c r="F55" s="11" t="s">
        <v>176</v>
      </c>
      <c r="G55" s="11" t="s">
        <v>177</v>
      </c>
      <c r="H55" s="11" t="s">
        <v>178</v>
      </c>
      <c r="I55" s="11" t="s">
        <v>198</v>
      </c>
      <c r="J55" s="4">
        <v>0.6</v>
      </c>
      <c r="K55" s="4">
        <v>0.77500000000000002</v>
      </c>
      <c r="L55" s="4">
        <v>0.67500000000000004</v>
      </c>
      <c r="M55" s="14">
        <v>272000</v>
      </c>
      <c r="N55" s="15">
        <v>300000</v>
      </c>
      <c r="O55" s="15">
        <v>272000</v>
      </c>
      <c r="P55" s="15">
        <v>960000</v>
      </c>
      <c r="Q55" s="3">
        <v>954975</v>
      </c>
      <c r="R55" s="5">
        <v>303.93857415658817</v>
      </c>
      <c r="S55" s="16">
        <v>5413.1653099999994</v>
      </c>
      <c r="T55" s="16">
        <v>3142</v>
      </c>
      <c r="U55" s="1">
        <v>540600</v>
      </c>
      <c r="V55" s="6">
        <v>172.0560152768937</v>
      </c>
      <c r="W55" s="23">
        <v>163200</v>
      </c>
      <c r="X55" s="23">
        <v>444300</v>
      </c>
      <c r="Y55" s="31">
        <v>607500</v>
      </c>
      <c r="Z55" s="24">
        <v>0.6361423073902458</v>
      </c>
      <c r="AA55" s="24">
        <v>0.74760029534826478</v>
      </c>
      <c r="AB55" s="5">
        <v>580470</v>
      </c>
      <c r="AC55" s="17">
        <v>44886</v>
      </c>
      <c r="AD55" s="1">
        <v>163200</v>
      </c>
      <c r="AE55" s="1">
        <v>417270.00000000006</v>
      </c>
      <c r="AF55" s="26">
        <v>580470</v>
      </c>
      <c r="AG55" s="23">
        <v>0</v>
      </c>
      <c r="AH55" s="23">
        <v>0</v>
      </c>
      <c r="AI55" s="27">
        <v>0.95</v>
      </c>
      <c r="AJ55" s="23">
        <v>0</v>
      </c>
      <c r="AK55" s="23">
        <v>27030.000000000025</v>
      </c>
      <c r="AL55" s="23">
        <v>27030</v>
      </c>
      <c r="AM55" s="2">
        <v>580470</v>
      </c>
      <c r="AN55" s="2"/>
      <c r="AO55" s="28">
        <v>580470</v>
      </c>
      <c r="AP55" s="18">
        <v>45099</v>
      </c>
      <c r="AQ55" s="18">
        <v>45113</v>
      </c>
      <c r="AR55" s="18">
        <v>45147</v>
      </c>
      <c r="AS55" s="11"/>
      <c r="AT55" s="2">
        <v>909500</v>
      </c>
      <c r="AU55" s="2">
        <v>45475</v>
      </c>
      <c r="AV55" s="2">
        <v>954975</v>
      </c>
      <c r="AW55" s="2"/>
      <c r="AX55" s="14">
        <v>89412.49</v>
      </c>
      <c r="AY55" s="29">
        <v>9.3628094976308279E-2</v>
      </c>
      <c r="AZ55" s="11" t="s">
        <v>302</v>
      </c>
      <c r="BA55" s="33">
        <v>0.99476562499999999</v>
      </c>
      <c r="BB55" s="19">
        <v>44511</v>
      </c>
      <c r="BC55" s="11"/>
    </row>
    <row r="56" spans="2:55" x14ac:dyDescent="0.3">
      <c r="B56" s="11" t="s">
        <v>303</v>
      </c>
      <c r="C56" s="12">
        <v>2210618</v>
      </c>
      <c r="D56" s="13">
        <v>7</v>
      </c>
      <c r="E56" s="13">
        <v>14</v>
      </c>
      <c r="F56" s="11" t="s">
        <v>176</v>
      </c>
      <c r="G56" s="11" t="s">
        <v>177</v>
      </c>
      <c r="H56" s="11" t="s">
        <v>178</v>
      </c>
      <c r="I56" s="11" t="s">
        <v>198</v>
      </c>
      <c r="J56" s="4">
        <v>0.6</v>
      </c>
      <c r="K56" s="4">
        <v>0.77500000000000002</v>
      </c>
      <c r="L56" s="4">
        <v>0.67500000000000004</v>
      </c>
      <c r="M56" s="14">
        <v>248000</v>
      </c>
      <c r="N56" s="15">
        <v>275000</v>
      </c>
      <c r="O56" s="15">
        <v>248000</v>
      </c>
      <c r="P56" s="15">
        <v>915000</v>
      </c>
      <c r="Q56" s="3">
        <v>908145</v>
      </c>
      <c r="R56" s="5">
        <v>319.54433497536945</v>
      </c>
      <c r="S56" s="16">
        <v>5872.7838400000001</v>
      </c>
      <c r="T56" s="16">
        <v>2842</v>
      </c>
      <c r="U56" s="1">
        <v>517100</v>
      </c>
      <c r="V56" s="6">
        <v>181.94933145672061</v>
      </c>
      <c r="W56" s="23">
        <v>148800</v>
      </c>
      <c r="X56" s="23">
        <v>444152.5</v>
      </c>
      <c r="Y56" s="31">
        <v>592952.5</v>
      </c>
      <c r="Z56" s="24">
        <v>0.65292712066905612</v>
      </c>
      <c r="AA56" s="24">
        <v>0.77500000000000002</v>
      </c>
      <c r="AB56" s="5">
        <v>567097.5</v>
      </c>
      <c r="AC56" s="17">
        <v>44886</v>
      </c>
      <c r="AD56" s="1">
        <v>148800</v>
      </c>
      <c r="AE56" s="1">
        <v>418297.5</v>
      </c>
      <c r="AF56" s="26">
        <v>567097.5</v>
      </c>
      <c r="AG56" s="23">
        <v>0</v>
      </c>
      <c r="AH56" s="23">
        <v>0</v>
      </c>
      <c r="AI56" s="27">
        <v>0.95</v>
      </c>
      <c r="AJ56" s="23">
        <v>0</v>
      </c>
      <c r="AK56" s="23">
        <v>25855.000000000022</v>
      </c>
      <c r="AL56" s="23">
        <v>25855</v>
      </c>
      <c r="AM56" s="2">
        <v>567097.5</v>
      </c>
      <c r="AN56" s="2"/>
      <c r="AO56" s="28">
        <v>567097.5</v>
      </c>
      <c r="AP56" s="18">
        <v>45131</v>
      </c>
      <c r="AQ56" s="18">
        <v>45135</v>
      </c>
      <c r="AR56" s="18"/>
      <c r="AS56" s="11"/>
      <c r="AT56" s="2">
        <v>864900</v>
      </c>
      <c r="AU56" s="2">
        <v>43245</v>
      </c>
      <c r="AV56" s="2">
        <v>908145</v>
      </c>
      <c r="AW56" s="2"/>
      <c r="AX56" s="14">
        <v>95380</v>
      </c>
      <c r="AY56" s="29">
        <v>0.10502728088576163</v>
      </c>
      <c r="AZ56" s="11" t="s">
        <v>304</v>
      </c>
      <c r="BA56" s="33">
        <v>0.99250819672131152</v>
      </c>
      <c r="BB56" s="19">
        <v>44511</v>
      </c>
      <c r="BC56" s="11"/>
    </row>
    <row r="57" spans="2:55" hidden="1" x14ac:dyDescent="0.3">
      <c r="B57" s="11" t="s">
        <v>305</v>
      </c>
      <c r="C57" s="12">
        <v>2211425</v>
      </c>
      <c r="D57" s="13">
        <v>6</v>
      </c>
      <c r="E57" s="13">
        <v>8</v>
      </c>
      <c r="F57" s="11" t="s">
        <v>306</v>
      </c>
      <c r="G57" s="11" t="s">
        <v>177</v>
      </c>
      <c r="H57" s="11" t="s">
        <v>195</v>
      </c>
      <c r="I57" s="11" t="s">
        <v>198</v>
      </c>
      <c r="J57" s="4">
        <v>0.5</v>
      </c>
      <c r="K57" s="4">
        <v>0.72499999999999998</v>
      </c>
      <c r="L57" s="4">
        <v>0.625</v>
      </c>
      <c r="M57" s="14">
        <v>155000</v>
      </c>
      <c r="N57" s="15">
        <v>250000</v>
      </c>
      <c r="O57" s="15">
        <v>155000</v>
      </c>
      <c r="P57" s="15">
        <v>685000</v>
      </c>
      <c r="Q57" s="3">
        <v>685000</v>
      </c>
      <c r="R57" s="5">
        <v>301.36383633963925</v>
      </c>
      <c r="S57" s="16">
        <v>3942</v>
      </c>
      <c r="T57" s="16">
        <v>2273</v>
      </c>
      <c r="U57" s="1">
        <v>399400</v>
      </c>
      <c r="V57" s="6">
        <v>175.71491421029475</v>
      </c>
      <c r="W57" s="23">
        <v>77500</v>
      </c>
      <c r="X57" s="23">
        <v>324440</v>
      </c>
      <c r="Y57" s="31">
        <v>401940</v>
      </c>
      <c r="Z57" s="24">
        <v>0.58677372262773719</v>
      </c>
      <c r="AA57" s="24">
        <v>0.72499999999999998</v>
      </c>
      <c r="AB57" s="5">
        <v>385964</v>
      </c>
      <c r="AC57" s="17">
        <v>44991</v>
      </c>
      <c r="AD57" s="1">
        <v>77500</v>
      </c>
      <c r="AE57" s="1">
        <v>308464</v>
      </c>
      <c r="AF57" s="26">
        <v>385964</v>
      </c>
      <c r="AG57" s="23">
        <v>0</v>
      </c>
      <c r="AH57" s="23">
        <v>0</v>
      </c>
      <c r="AI57" s="27">
        <v>0.96</v>
      </c>
      <c r="AJ57" s="23">
        <v>0</v>
      </c>
      <c r="AK57" s="23">
        <v>15976.000000000015</v>
      </c>
      <c r="AL57" s="23">
        <v>15976</v>
      </c>
      <c r="AM57" s="2">
        <v>385964</v>
      </c>
      <c r="AN57" s="2"/>
      <c r="AO57" s="28">
        <v>385964</v>
      </c>
      <c r="AP57" s="18">
        <v>45251</v>
      </c>
      <c r="AQ57" s="18">
        <v>45258</v>
      </c>
      <c r="AR57" s="18"/>
      <c r="AS57" s="11"/>
      <c r="AT57" s="2">
        <v>687619.04761904757</v>
      </c>
      <c r="AU57" s="2">
        <v>34380.952380952425</v>
      </c>
      <c r="AV57" s="2">
        <v>722000</v>
      </c>
      <c r="AW57" s="2"/>
      <c r="AX57" s="14">
        <v>30000</v>
      </c>
      <c r="AY57" s="29">
        <v>4.1551246537396121E-2</v>
      </c>
      <c r="AZ57" s="11" t="s">
        <v>307</v>
      </c>
      <c r="BA57" s="33">
        <v>1.0540145985401459</v>
      </c>
      <c r="BB57" s="19">
        <v>45223</v>
      </c>
      <c r="BC57" s="11"/>
    </row>
    <row r="58" spans="2:55" hidden="1" x14ac:dyDescent="0.3">
      <c r="B58" s="11" t="s">
        <v>308</v>
      </c>
      <c r="C58" s="12">
        <v>2011558</v>
      </c>
      <c r="D58" s="13">
        <v>1</v>
      </c>
      <c r="E58" s="13">
        <v>29</v>
      </c>
      <c r="F58" s="11" t="s">
        <v>239</v>
      </c>
      <c r="G58" s="11" t="s">
        <v>177</v>
      </c>
      <c r="H58" s="11" t="s">
        <v>178</v>
      </c>
      <c r="I58" s="11" t="s">
        <v>198</v>
      </c>
      <c r="J58" s="4">
        <v>0.6</v>
      </c>
      <c r="K58" s="4">
        <v>0.77500000000000002</v>
      </c>
      <c r="L58" s="4">
        <v>0.67500000000000004</v>
      </c>
      <c r="M58" s="14">
        <v>184000</v>
      </c>
      <c r="N58" s="15">
        <v>215000</v>
      </c>
      <c r="O58" s="15">
        <v>184000</v>
      </c>
      <c r="P58" s="15">
        <v>840000</v>
      </c>
      <c r="Q58" s="3">
        <v>840000</v>
      </c>
      <c r="R58" s="5">
        <v>266.41294005708846</v>
      </c>
      <c r="S58" s="16">
        <v>8859</v>
      </c>
      <c r="T58" s="16">
        <v>3153</v>
      </c>
      <c r="U58" s="1">
        <v>548600</v>
      </c>
      <c r="V58" s="6">
        <v>173.99302251823659</v>
      </c>
      <c r="W58" s="23">
        <v>110400</v>
      </c>
      <c r="X58" s="23">
        <v>456600</v>
      </c>
      <c r="Y58" s="31">
        <v>567000</v>
      </c>
      <c r="Z58" s="24">
        <v>0.67500000000000004</v>
      </c>
      <c r="AA58" s="24">
        <v>0.77395577395577397</v>
      </c>
      <c r="AB58" s="5">
        <v>545056</v>
      </c>
      <c r="AC58" s="17">
        <v>44981</v>
      </c>
      <c r="AD58" s="1">
        <v>110400</v>
      </c>
      <c r="AE58" s="1">
        <v>434656</v>
      </c>
      <c r="AF58" s="26">
        <v>545056</v>
      </c>
      <c r="AG58" s="23">
        <v>0</v>
      </c>
      <c r="AH58" s="23">
        <v>0</v>
      </c>
      <c r="AI58" s="27">
        <v>0.96</v>
      </c>
      <c r="AJ58" s="23">
        <v>0</v>
      </c>
      <c r="AK58" s="23">
        <v>21944.000000000018</v>
      </c>
      <c r="AL58" s="23">
        <v>21944</v>
      </c>
      <c r="AM58" s="2">
        <v>545056</v>
      </c>
      <c r="AN58" s="2"/>
      <c r="AO58" s="28">
        <v>545056</v>
      </c>
      <c r="AP58" s="18">
        <v>45254</v>
      </c>
      <c r="AQ58" s="18">
        <v>45261</v>
      </c>
      <c r="AR58" s="18"/>
      <c r="AS58" s="11"/>
      <c r="AT58" s="2">
        <v>944450</v>
      </c>
      <c r="AU58" s="2">
        <v>47222.5</v>
      </c>
      <c r="AV58" s="2">
        <v>991672.5</v>
      </c>
      <c r="AW58" s="2"/>
      <c r="AX58" s="14">
        <v>89445</v>
      </c>
      <c r="AY58" s="29">
        <v>9.0196108090120478E-2</v>
      </c>
      <c r="AZ58" s="11" t="s">
        <v>309</v>
      </c>
      <c r="BA58" s="33">
        <v>1.1805625</v>
      </c>
      <c r="BB58" s="19">
        <v>44674</v>
      </c>
      <c r="BC58" s="11"/>
    </row>
  </sheetData>
  <autoFilter ref="B2:BC58" xr:uid="{BD8D6FCF-722C-4DF0-AF1B-80EB18B35E5D}">
    <filterColumn colId="0">
      <filters>
        <filter val="12 Waterford Heights"/>
        <filter val="16 Waterford Heights"/>
        <filter val="20 Waterford Heights"/>
        <filter val="24 Waterford Heights"/>
        <filter val="28 Waterford Heights"/>
        <filter val="33 Waterford Terrace, Chestermere"/>
        <filter val="36 Waterford Heights"/>
        <filter val="4 Waterford Heights"/>
        <filter val="40 Waterford Heights"/>
        <filter val="41 Waterford Terrace, Chestermere"/>
        <filter val="44 Waterford Heights"/>
        <filter val="57 Waterford Road"/>
        <filter val="61 Waterford Road"/>
        <filter val="65 Waterford Road"/>
        <filter val="72 Waterford Terrace, Chestermere"/>
        <filter val="73 Waterford Road"/>
        <filter val="74 Waterford Road"/>
        <filter val="77 Waterford Road"/>
        <filter val="78 Waterford Road"/>
        <filter val="8 Waterford Heights"/>
        <filter val="81 Waterford Road"/>
        <filter val="82 Waterford Road"/>
        <filter val="85 Waterford Road"/>
        <filter val="89 Waterford Road"/>
      </filters>
    </filterColumn>
  </autoFilter>
  <conditionalFormatting sqref="J3:L58">
    <cfRule type="cellIs" dxfId="1" priority="1" operator="equal">
      <formula>"OUTSIDE CL REGIONS"</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9613-8F25-41AD-AB45-FDBE941FFF3F}">
  <sheetPr filterMode="1"/>
  <dimension ref="B3:BC60"/>
  <sheetViews>
    <sheetView topLeftCell="H1" workbookViewId="0">
      <selection activeCell="U59" sqref="U28:U59"/>
    </sheetView>
  </sheetViews>
  <sheetFormatPr defaultRowHeight="14.4" x14ac:dyDescent="0.3"/>
  <cols>
    <col min="2" max="2" width="32.6640625" bestFit="1" customWidth="1"/>
    <col min="3" max="3" width="20.6640625" bestFit="1" customWidth="1"/>
    <col min="4" max="4" width="9" bestFit="1" customWidth="1"/>
    <col min="5" max="5" width="4.44140625" bestFit="1" customWidth="1"/>
    <col min="6" max="6" width="12" bestFit="1" customWidth="1"/>
    <col min="7" max="7" width="8.33203125" bestFit="1" customWidth="1"/>
    <col min="8" max="8" width="10.6640625" bestFit="1" customWidth="1"/>
    <col min="9" max="9" width="11.6640625" bestFit="1" customWidth="1"/>
    <col min="10" max="12" width="6.6640625" bestFit="1" customWidth="1"/>
    <col min="13" max="15" width="11.6640625" bestFit="1" customWidth="1"/>
    <col min="16" max="16" width="12.6640625" bestFit="1" customWidth="1"/>
    <col min="17" max="17" width="13.6640625" bestFit="1" customWidth="1"/>
    <col min="18" max="18" width="11.6640625" bestFit="1" customWidth="1"/>
    <col min="19" max="19" width="6.5546875" bestFit="1" customWidth="1"/>
    <col min="20" max="20" width="7.44140625" bestFit="1" customWidth="1"/>
    <col min="21" max="21" width="12.33203125" bestFit="1" customWidth="1"/>
    <col min="22" max="22" width="6.5546875" bestFit="1" customWidth="1"/>
    <col min="23" max="25" width="12.33203125" bestFit="1" customWidth="1"/>
    <col min="26" max="27" width="8.5546875" bestFit="1" customWidth="1"/>
    <col min="28" max="28" width="12.33203125" bestFit="1" customWidth="1"/>
    <col min="29" max="29" width="9.6640625" bestFit="1" customWidth="1"/>
    <col min="30" max="31" width="12.33203125" bestFit="1" customWidth="1"/>
    <col min="32" max="32" width="14.6640625" bestFit="1" customWidth="1"/>
    <col min="33" max="34" width="12.33203125" bestFit="1" customWidth="1"/>
    <col min="35" max="35" width="8.33203125" bestFit="1" customWidth="1"/>
    <col min="36" max="36" width="12.6640625" bestFit="1" customWidth="1"/>
    <col min="37" max="38" width="12.33203125" bestFit="1" customWidth="1"/>
    <col min="39" max="39" width="14.6640625" bestFit="1" customWidth="1"/>
    <col min="40" max="40" width="7.5546875" bestFit="1" customWidth="1"/>
    <col min="41" max="41" width="12.33203125" bestFit="1" customWidth="1"/>
    <col min="42" max="44" width="9.6640625" bestFit="1" customWidth="1"/>
    <col min="45" max="45" width="5.44140625" bestFit="1" customWidth="1"/>
    <col min="46" max="46" width="13.6640625" bestFit="1" customWidth="1"/>
    <col min="47" max="47" width="11.33203125" bestFit="1" customWidth="1"/>
    <col min="48" max="48" width="13.6640625" bestFit="1" customWidth="1"/>
    <col min="49" max="50" width="11.33203125" bestFit="1" customWidth="1"/>
    <col min="51" max="51" width="8.44140625" bestFit="1" customWidth="1"/>
    <col min="52" max="52" width="47.6640625" bestFit="1" customWidth="1"/>
    <col min="53" max="53" width="8.5546875" bestFit="1" customWidth="1"/>
    <col min="54" max="54" width="10.33203125" bestFit="1" customWidth="1"/>
    <col min="55" max="55" width="135.6640625" bestFit="1" customWidth="1"/>
  </cols>
  <sheetData>
    <row r="3" spans="2:55" ht="110.4" x14ac:dyDescent="0.3">
      <c r="B3" s="7" t="s">
        <v>127</v>
      </c>
      <c r="C3" s="8" t="s">
        <v>128</v>
      </c>
      <c r="D3" s="8" t="s">
        <v>129</v>
      </c>
      <c r="E3" s="8" t="s">
        <v>7</v>
      </c>
      <c r="F3" s="9" t="s">
        <v>130</v>
      </c>
      <c r="G3" s="9" t="s">
        <v>131</v>
      </c>
      <c r="H3" s="9" t="s">
        <v>132</v>
      </c>
      <c r="I3" s="9" t="s">
        <v>133</v>
      </c>
      <c r="J3" s="9" t="s">
        <v>134</v>
      </c>
      <c r="K3" s="9" t="s">
        <v>135</v>
      </c>
      <c r="L3" s="9" t="s">
        <v>136</v>
      </c>
      <c r="M3" s="9" t="s">
        <v>20</v>
      </c>
      <c r="N3" s="9" t="s">
        <v>137</v>
      </c>
      <c r="O3" s="9" t="s">
        <v>138</v>
      </c>
      <c r="P3" s="9" t="s">
        <v>25</v>
      </c>
      <c r="Q3" s="9" t="s">
        <v>139</v>
      </c>
      <c r="R3" s="9" t="s">
        <v>140</v>
      </c>
      <c r="S3" s="9" t="s">
        <v>141</v>
      </c>
      <c r="T3" s="9" t="s">
        <v>142</v>
      </c>
      <c r="U3" s="9" t="s">
        <v>143</v>
      </c>
      <c r="V3" s="9" t="s">
        <v>144</v>
      </c>
      <c r="W3" s="9" t="s">
        <v>145</v>
      </c>
      <c r="X3" s="9" t="s">
        <v>146</v>
      </c>
      <c r="Y3" s="9" t="s">
        <v>147</v>
      </c>
      <c r="Z3" s="9" t="s">
        <v>148</v>
      </c>
      <c r="AA3" s="9" t="s">
        <v>149</v>
      </c>
      <c r="AB3" s="9" t="s">
        <v>150</v>
      </c>
      <c r="AC3" s="9" t="s">
        <v>151</v>
      </c>
      <c r="AD3" s="9" t="s">
        <v>152</v>
      </c>
      <c r="AE3" s="9" t="s">
        <v>153</v>
      </c>
      <c r="AF3" s="9" t="s">
        <v>154</v>
      </c>
      <c r="AG3" s="9" t="s">
        <v>155</v>
      </c>
      <c r="AH3" s="9" t="s">
        <v>156</v>
      </c>
      <c r="AI3" s="9" t="s">
        <v>157</v>
      </c>
      <c r="AJ3" s="9" t="s">
        <v>158</v>
      </c>
      <c r="AK3" s="9" t="s">
        <v>159</v>
      </c>
      <c r="AL3" s="9" t="s">
        <v>160</v>
      </c>
      <c r="AM3" s="9" t="s">
        <v>161</v>
      </c>
      <c r="AN3" s="9" t="s">
        <v>162</v>
      </c>
      <c r="AO3" s="9" t="s">
        <v>163</v>
      </c>
      <c r="AP3" s="9" t="s">
        <v>164</v>
      </c>
      <c r="AQ3" s="9" t="s">
        <v>165</v>
      </c>
      <c r="AR3" s="9" t="s">
        <v>166</v>
      </c>
      <c r="AS3" s="38" t="s">
        <v>58</v>
      </c>
      <c r="AT3" s="10" t="s">
        <v>77</v>
      </c>
      <c r="AU3" s="9" t="s">
        <v>167</v>
      </c>
      <c r="AV3" s="9" t="s">
        <v>168</v>
      </c>
      <c r="AW3" s="9" t="s">
        <v>169</v>
      </c>
      <c r="AX3" s="9" t="s">
        <v>170</v>
      </c>
      <c r="AY3" s="9" t="s">
        <v>171</v>
      </c>
      <c r="AZ3" s="9" t="s">
        <v>172</v>
      </c>
      <c r="BA3" s="9" t="s">
        <v>173</v>
      </c>
      <c r="BB3" s="9" t="s">
        <v>48</v>
      </c>
      <c r="BC3" s="39" t="s">
        <v>58</v>
      </c>
    </row>
    <row r="4" spans="2:55" hidden="1" x14ac:dyDescent="0.3">
      <c r="B4" s="11" t="s">
        <v>174</v>
      </c>
      <c r="C4" s="20" t="s">
        <v>175</v>
      </c>
      <c r="D4" s="13">
        <v>42</v>
      </c>
      <c r="E4" s="13">
        <v>57</v>
      </c>
      <c r="F4" s="11" t="s">
        <v>176</v>
      </c>
      <c r="G4" s="11" t="s">
        <v>177</v>
      </c>
      <c r="H4" s="11" t="s">
        <v>178</v>
      </c>
      <c r="I4" s="11" t="str">
        <f>IF(AI4=0,"Land",IF(AND(AI4&gt;0,AI4&lt;1),"Construction",IF(AI4=1,"Completed")))</f>
        <v>Construction</v>
      </c>
      <c r="J4" s="4">
        <v>0.55000000000000004</v>
      </c>
      <c r="K4" s="4">
        <v>0.75</v>
      </c>
      <c r="L4" s="4">
        <v>0.65</v>
      </c>
      <c r="M4" s="14">
        <v>200000</v>
      </c>
      <c r="N4" s="15">
        <v>210000</v>
      </c>
      <c r="O4" s="15">
        <f>MIN(M4:N4)</f>
        <v>200000</v>
      </c>
      <c r="P4" s="15">
        <v>740000</v>
      </c>
      <c r="Q4" s="3">
        <f>IF(AV4&gt;0,MIN(P4,AV4),P4)</f>
        <v>739000</v>
      </c>
      <c r="R4" s="5">
        <f>Q4/T4</f>
        <v>228.50958565244281</v>
      </c>
      <c r="S4" s="16">
        <v>8309.7307999999994</v>
      </c>
      <c r="T4" s="16">
        <v>3234</v>
      </c>
      <c r="U4" s="1">
        <v>426200</v>
      </c>
      <c r="V4" s="6">
        <f>U4/T4</f>
        <v>131.78726035868894</v>
      </c>
      <c r="W4" s="23">
        <f>J4*MIN(M4:N4)</f>
        <v>110000.00000000001</v>
      </c>
      <c r="X4" s="23">
        <f>MAX(IF(Q4="",0,MIN(((U4+M4)*K4)-W4,(Q4*L4)-W4)),0)</f>
        <v>359650</v>
      </c>
      <c r="Y4" s="23">
        <f>W4+X4</f>
        <v>469650</v>
      </c>
      <c r="Z4" s="24">
        <f>IF(Q4&gt;0,Y4/Q4,Y4/N4)</f>
        <v>0.63552097428958054</v>
      </c>
      <c r="AA4" s="24">
        <f>IF(Q4&gt;0,Y4/(M4+U4),Y4/M4)</f>
        <v>0.75</v>
      </c>
      <c r="AB4" s="5">
        <f>ROUND(IF(Q4&gt;0,IF(G4="%",W4+X4*AI4,W4+MAX((O4+(U4*AI4))-(O4+U4-X4),0)),W4),2)</f>
        <v>459847.4</v>
      </c>
      <c r="AC4" s="17">
        <v>44008</v>
      </c>
      <c r="AD4" s="25">
        <v>110000.00000000001</v>
      </c>
      <c r="AE4" s="25">
        <f>243297.4+32817.4+53275</f>
        <v>329389.8</v>
      </c>
      <c r="AF4" s="26">
        <f>SUM(AD4:AE4)</f>
        <v>439389.8</v>
      </c>
      <c r="AG4" s="26">
        <f t="shared" ref="AG4:AG11" si="0">AF4-AO4</f>
        <v>0</v>
      </c>
      <c r="AH4" s="23">
        <f t="shared" ref="AH4:AH11" si="1">AB4-AF4</f>
        <v>20457.600000000035</v>
      </c>
      <c r="AI4" s="27">
        <v>0.97699999999999998</v>
      </c>
      <c r="AJ4" s="23">
        <f>IF(AM4&gt;0,0,N4+(Q4-N4)*AI4)</f>
        <v>0</v>
      </c>
      <c r="AK4" s="23">
        <f t="shared" ref="AK4:AK11" si="2">(1-AI4)*U4</f>
        <v>9802.6000000000095</v>
      </c>
      <c r="AL4" s="23">
        <f t="shared" ref="AL4:AL11" si="3">Y4-AF4</f>
        <v>30260.200000000012</v>
      </c>
      <c r="AM4" s="2">
        <v>439389.8</v>
      </c>
      <c r="AN4" s="2"/>
      <c r="AO4" s="28">
        <f>AM4-AN4</f>
        <v>439389.8</v>
      </c>
      <c r="AP4" s="18">
        <v>44069</v>
      </c>
      <c r="AQ4" s="18">
        <v>44074</v>
      </c>
      <c r="AR4" s="18">
        <v>44097</v>
      </c>
      <c r="AS4" s="11"/>
      <c r="AT4" s="2">
        <f t="shared" ref="AT4:AT11" si="4">AV4/1.05</f>
        <v>703809.52380952379</v>
      </c>
      <c r="AU4" s="2">
        <f>AT4*0.05</f>
        <v>35190.476190476191</v>
      </c>
      <c r="AV4" s="14">
        <v>739000</v>
      </c>
      <c r="AW4" s="14"/>
      <c r="AX4" s="14">
        <v>70000</v>
      </c>
      <c r="AY4" s="29">
        <f t="shared" ref="AY4:AY11" si="5">AX4/AV4</f>
        <v>9.4722598105548034E-2</v>
      </c>
      <c r="AZ4" s="11" t="s">
        <v>179</v>
      </c>
      <c r="BA4" s="30">
        <f>IFERROR(AV4/Q4,0)</f>
        <v>1</v>
      </c>
      <c r="BB4" s="19">
        <v>43800</v>
      </c>
      <c r="BC4" s="11"/>
    </row>
    <row r="5" spans="2:55" hidden="1" x14ac:dyDescent="0.3">
      <c r="B5" s="11" t="s">
        <v>180</v>
      </c>
      <c r="C5" s="20" t="s">
        <v>181</v>
      </c>
      <c r="D5" s="13">
        <v>1</v>
      </c>
      <c r="E5" s="13">
        <v>2</v>
      </c>
      <c r="F5" s="11" t="s">
        <v>176</v>
      </c>
      <c r="G5" s="11" t="s">
        <v>177</v>
      </c>
      <c r="H5" s="11" t="s">
        <v>178</v>
      </c>
      <c r="I5" s="11" t="str">
        <f t="shared" ref="I5:I7" si="6">IF(AI5=0,"Land",IF(AND(AI5&gt;0,AI5&lt;1),"Construction",IF(AI5=1,"Completed")))</f>
        <v>Construction</v>
      </c>
      <c r="J5" s="4">
        <v>0.55000000000000004</v>
      </c>
      <c r="K5" s="4">
        <v>0.75</v>
      </c>
      <c r="L5" s="4">
        <v>0.65</v>
      </c>
      <c r="M5" s="14">
        <v>204389</v>
      </c>
      <c r="N5" s="15">
        <v>180000</v>
      </c>
      <c r="O5" s="15">
        <f t="shared" ref="O5:O7" si="7">MIN(M5:N5)</f>
        <v>180000</v>
      </c>
      <c r="P5" s="15">
        <v>705000</v>
      </c>
      <c r="Q5" s="3">
        <f>IF(AV5&gt;0,MIN(P5,AV5),P5)</f>
        <v>698500</v>
      </c>
      <c r="R5" s="5">
        <f t="shared" ref="R5:R7" si="8">Q5/T5</f>
        <v>230.83278255122275</v>
      </c>
      <c r="S5" s="16">
        <f>489*10.7639</f>
        <v>5263.5470999999998</v>
      </c>
      <c r="T5" s="16">
        <v>3026</v>
      </c>
      <c r="U5" s="1">
        <v>400200</v>
      </c>
      <c r="V5" s="6">
        <f t="shared" ref="V5:V7" si="9">U5/T5</f>
        <v>132.25380039656312</v>
      </c>
      <c r="W5" s="23">
        <f t="shared" ref="W5:W7" si="10">J5*MIN(M5:N5)</f>
        <v>99000.000000000015</v>
      </c>
      <c r="X5" s="23">
        <f t="shared" ref="X5:X7" si="11">MAX(IF(Q5="",0,MIN(((U5+M5)*K5)-W5,(Q5*L5)-W5)),0)</f>
        <v>354441.75</v>
      </c>
      <c r="Y5" s="23">
        <f t="shared" ref="Y5:Y7" si="12">W5+X5</f>
        <v>453441.75</v>
      </c>
      <c r="Z5" s="24">
        <f t="shared" ref="Z5:Z7" si="13">IF(Q5&gt;0,Y5/Q5,Y5/N5)</f>
        <v>0.64916499642090197</v>
      </c>
      <c r="AA5" s="24">
        <f t="shared" ref="AA5:AA7" si="14">IF(Q5&gt;0,Y5/(M5+U5),Y5/M5)</f>
        <v>0.75</v>
      </c>
      <c r="AB5" s="5">
        <f t="shared" ref="AB5:AB11" si="15">ROUND(IF(Q5&gt;0,IF(G5="%",W5+X5*AI5,W5+MAX((O5+U5*AI5)-(O5+U5-X5),0)),W5),2)</f>
        <v>346988.55</v>
      </c>
      <c r="AC5" s="17">
        <v>44008</v>
      </c>
      <c r="AD5" s="25">
        <v>99000.000000000015</v>
      </c>
      <c r="AE5" s="25">
        <f>155142.15+17608.8+54827.4+9604.8+10805.4</f>
        <v>247988.54999999996</v>
      </c>
      <c r="AF5" s="26">
        <f t="shared" ref="AF5" si="16">SUM(AD5:AE5)</f>
        <v>346988.55</v>
      </c>
      <c r="AG5" s="26">
        <f t="shared" si="0"/>
        <v>0</v>
      </c>
      <c r="AH5" s="23">
        <f t="shared" si="1"/>
        <v>0</v>
      </c>
      <c r="AI5" s="27">
        <v>0.73399999999999999</v>
      </c>
      <c r="AJ5" s="23">
        <f t="shared" ref="AJ5:AJ11" si="17">IF(AM5&gt;0,0,O5+(Q5-O5)*AI5)</f>
        <v>0</v>
      </c>
      <c r="AK5" s="23">
        <f t="shared" si="2"/>
        <v>106453.20000000001</v>
      </c>
      <c r="AL5" s="23">
        <f t="shared" si="3"/>
        <v>106453.20000000001</v>
      </c>
      <c r="AM5" s="2">
        <v>346988.55</v>
      </c>
      <c r="AN5" s="2"/>
      <c r="AO5" s="28">
        <f t="shared" ref="AO5:AO7" si="18">AM5-AN5</f>
        <v>346988.55</v>
      </c>
      <c r="AP5" s="18">
        <v>44102</v>
      </c>
      <c r="AQ5" s="18">
        <v>44109</v>
      </c>
      <c r="AR5" s="18">
        <v>44134</v>
      </c>
      <c r="AS5" s="11"/>
      <c r="AT5" s="2">
        <f t="shared" si="4"/>
        <v>665238.09523809527</v>
      </c>
      <c r="AU5" s="2">
        <f>AT5*0.05</f>
        <v>33261.904761904763</v>
      </c>
      <c r="AV5" s="14">
        <v>698500</v>
      </c>
      <c r="AW5" s="14"/>
      <c r="AX5" s="14">
        <v>70000</v>
      </c>
      <c r="AY5" s="29">
        <f t="shared" si="5"/>
        <v>0.10021474588403723</v>
      </c>
      <c r="AZ5" s="11" t="s">
        <v>182</v>
      </c>
      <c r="BA5" s="30">
        <f>IFERROR(AV5/Q5,0)</f>
        <v>1</v>
      </c>
      <c r="BB5" s="19">
        <v>43807</v>
      </c>
      <c r="BC5" s="11"/>
    </row>
    <row r="6" spans="2:55" hidden="1" x14ac:dyDescent="0.3">
      <c r="B6" s="11" t="s">
        <v>183</v>
      </c>
      <c r="C6" s="20" t="s">
        <v>181</v>
      </c>
      <c r="D6" s="13">
        <v>1</v>
      </c>
      <c r="E6" s="13">
        <v>3</v>
      </c>
      <c r="F6" s="11" t="s">
        <v>176</v>
      </c>
      <c r="G6" s="11" t="s">
        <v>177</v>
      </c>
      <c r="H6" s="11" t="s">
        <v>178</v>
      </c>
      <c r="I6" s="11" t="str">
        <f t="shared" si="6"/>
        <v>Construction</v>
      </c>
      <c r="J6" s="4">
        <v>0.55000000000000004</v>
      </c>
      <c r="K6" s="4">
        <v>0.75</v>
      </c>
      <c r="L6" s="4">
        <v>0.65</v>
      </c>
      <c r="M6" s="14">
        <v>204389</v>
      </c>
      <c r="N6" s="15">
        <v>175000</v>
      </c>
      <c r="O6" s="15">
        <f t="shared" si="7"/>
        <v>175000</v>
      </c>
      <c r="P6" s="15">
        <v>655000</v>
      </c>
      <c r="Q6" s="3">
        <f>IF(AV6&gt;0,MIN(P6,AV6),P6)</f>
        <v>648375</v>
      </c>
      <c r="R6" s="5">
        <f t="shared" si="8"/>
        <v>251.99183832102605</v>
      </c>
      <c r="S6" s="16">
        <v>5285</v>
      </c>
      <c r="T6" s="16">
        <v>2573</v>
      </c>
      <c r="U6" s="1">
        <v>331300</v>
      </c>
      <c r="V6" s="6">
        <f t="shared" si="9"/>
        <v>128.76020209871746</v>
      </c>
      <c r="W6" s="23">
        <f t="shared" si="10"/>
        <v>96250.000000000015</v>
      </c>
      <c r="X6" s="23">
        <f t="shared" si="11"/>
        <v>305516.75</v>
      </c>
      <c r="Y6" s="23">
        <f t="shared" si="12"/>
        <v>401766.75</v>
      </c>
      <c r="Z6" s="24">
        <f t="shared" si="13"/>
        <v>0.61965182186234813</v>
      </c>
      <c r="AA6" s="24">
        <f t="shared" si="14"/>
        <v>0.75</v>
      </c>
      <c r="AB6" s="5">
        <f t="shared" si="15"/>
        <v>315297.45</v>
      </c>
      <c r="AC6" s="17">
        <v>44068</v>
      </c>
      <c r="AD6" s="25">
        <v>96250.000000000015</v>
      </c>
      <c r="AE6" s="25">
        <f>130921.65+41412.5+46713.3</f>
        <v>219047.45</v>
      </c>
      <c r="AF6" s="26">
        <f>SUM(AD6:AE6)</f>
        <v>315297.45</v>
      </c>
      <c r="AG6" s="26">
        <f t="shared" si="0"/>
        <v>0</v>
      </c>
      <c r="AH6" s="23">
        <f t="shared" si="1"/>
        <v>0</v>
      </c>
      <c r="AI6" s="27">
        <v>0.73899999999999999</v>
      </c>
      <c r="AJ6" s="23">
        <f t="shared" si="17"/>
        <v>0</v>
      </c>
      <c r="AK6" s="23">
        <f t="shared" si="2"/>
        <v>86469.3</v>
      </c>
      <c r="AL6" s="23">
        <f t="shared" si="3"/>
        <v>86469.299999999988</v>
      </c>
      <c r="AM6" s="2">
        <f>315294.45+3</f>
        <v>315297.45</v>
      </c>
      <c r="AN6" s="2"/>
      <c r="AO6" s="28">
        <f t="shared" si="18"/>
        <v>315297.45</v>
      </c>
      <c r="AP6" s="18">
        <v>44111</v>
      </c>
      <c r="AQ6" s="18">
        <v>44123</v>
      </c>
      <c r="AR6" s="18">
        <v>44151</v>
      </c>
      <c r="AS6" s="11"/>
      <c r="AT6" s="2">
        <f t="shared" si="4"/>
        <v>617500</v>
      </c>
      <c r="AU6" s="2">
        <f>AV6-AT6</f>
        <v>30875</v>
      </c>
      <c r="AV6" s="14">
        <v>648375</v>
      </c>
      <c r="AW6" s="14"/>
      <c r="AX6" s="14">
        <v>65000</v>
      </c>
      <c r="AY6" s="29">
        <f t="shared" si="5"/>
        <v>0.10025062656641603</v>
      </c>
      <c r="AZ6" s="11" t="s">
        <v>184</v>
      </c>
      <c r="BA6" s="30">
        <f>AV6/P6</f>
        <v>0.98988549618320609</v>
      </c>
      <c r="BB6" s="19">
        <v>43845</v>
      </c>
      <c r="BC6" s="11"/>
    </row>
    <row r="7" spans="2:55" hidden="1" x14ac:dyDescent="0.3">
      <c r="B7" s="11" t="s">
        <v>185</v>
      </c>
      <c r="C7" s="20" t="s">
        <v>175</v>
      </c>
      <c r="D7" s="13">
        <v>42</v>
      </c>
      <c r="E7" s="13">
        <v>73</v>
      </c>
      <c r="F7" s="11" t="s">
        <v>176</v>
      </c>
      <c r="G7" s="11" t="s">
        <v>177</v>
      </c>
      <c r="H7" s="11" t="s">
        <v>178</v>
      </c>
      <c r="I7" s="11" t="str">
        <f t="shared" si="6"/>
        <v>Construction</v>
      </c>
      <c r="J7" s="4">
        <v>0.55000000000000004</v>
      </c>
      <c r="K7" s="4">
        <v>0.75</v>
      </c>
      <c r="L7" s="4">
        <v>0.65</v>
      </c>
      <c r="M7" s="14">
        <v>205000</v>
      </c>
      <c r="N7" s="15">
        <v>190000</v>
      </c>
      <c r="O7" s="15">
        <f t="shared" si="7"/>
        <v>190000</v>
      </c>
      <c r="P7" s="15">
        <v>730000</v>
      </c>
      <c r="Q7" s="3">
        <f>IF(AV7&gt;0,MIN(P7,AV7),P7)</f>
        <v>730000</v>
      </c>
      <c r="R7" s="5">
        <f t="shared" si="8"/>
        <v>226.91949020826857</v>
      </c>
      <c r="S7" s="16">
        <v>5812.5059999999994</v>
      </c>
      <c r="T7" s="16">
        <v>3217</v>
      </c>
      <c r="U7" s="1">
        <v>395600</v>
      </c>
      <c r="V7" s="6">
        <f t="shared" si="9"/>
        <v>122.97171277587815</v>
      </c>
      <c r="W7" s="23">
        <f t="shared" si="10"/>
        <v>104500.00000000001</v>
      </c>
      <c r="X7" s="23">
        <f t="shared" si="11"/>
        <v>345950</v>
      </c>
      <c r="Y7" s="23">
        <f t="shared" si="12"/>
        <v>450450</v>
      </c>
      <c r="Z7" s="24">
        <f t="shared" si="13"/>
        <v>0.6170547945205479</v>
      </c>
      <c r="AA7" s="24">
        <f t="shared" si="14"/>
        <v>0.75</v>
      </c>
      <c r="AB7" s="5">
        <f t="shared" si="15"/>
        <v>362626.8</v>
      </c>
      <c r="AC7" s="17">
        <v>44008</v>
      </c>
      <c r="AD7" s="25">
        <v>104500.00000000001</v>
      </c>
      <c r="AE7" s="25">
        <f>22349.2+54197.2+49845.6+46285.2+53801.6+31648</f>
        <v>258126.80000000002</v>
      </c>
      <c r="AF7" s="26">
        <f>SUM(AD7:AE7)</f>
        <v>362626.80000000005</v>
      </c>
      <c r="AG7" s="26">
        <f t="shared" si="0"/>
        <v>0</v>
      </c>
      <c r="AH7" s="23">
        <f t="shared" si="1"/>
        <v>0</v>
      </c>
      <c r="AI7" s="27">
        <v>0.77800000000000002</v>
      </c>
      <c r="AJ7" s="23">
        <f t="shared" si="17"/>
        <v>0</v>
      </c>
      <c r="AK7" s="23">
        <f t="shared" si="2"/>
        <v>87823.2</v>
      </c>
      <c r="AL7" s="23">
        <f t="shared" si="3"/>
        <v>87823.199999999953</v>
      </c>
      <c r="AM7" s="2">
        <v>362626.8</v>
      </c>
      <c r="AN7" s="2">
        <v>0</v>
      </c>
      <c r="AO7" s="28">
        <f t="shared" si="18"/>
        <v>362626.8</v>
      </c>
      <c r="AP7" s="18"/>
      <c r="AQ7" s="18">
        <v>44130</v>
      </c>
      <c r="AR7" s="18">
        <v>44162</v>
      </c>
      <c r="AS7" s="11"/>
      <c r="AT7" s="2">
        <f t="shared" si="4"/>
        <v>695238.09523809527</v>
      </c>
      <c r="AU7" s="2">
        <f>AT7*0.05</f>
        <v>34761.904761904763</v>
      </c>
      <c r="AV7" s="14">
        <v>730000</v>
      </c>
      <c r="AW7" s="14"/>
      <c r="AX7" s="14">
        <v>50000</v>
      </c>
      <c r="AY7" s="29">
        <f t="shared" si="5"/>
        <v>6.8493150684931503E-2</v>
      </c>
      <c r="AZ7" s="11" t="s">
        <v>186</v>
      </c>
      <c r="BA7" s="30">
        <f>IFERROR(AV7/Q7,0)</f>
        <v>1</v>
      </c>
      <c r="BB7" s="19">
        <v>43797</v>
      </c>
      <c r="BC7" s="11"/>
    </row>
    <row r="8" spans="2:55" hidden="1" x14ac:dyDescent="0.3">
      <c r="B8" s="11" t="s">
        <v>187</v>
      </c>
      <c r="C8" s="20" t="s">
        <v>181</v>
      </c>
      <c r="D8" s="13">
        <v>1</v>
      </c>
      <c r="E8" s="13">
        <v>4</v>
      </c>
      <c r="F8" s="11" t="s">
        <v>176</v>
      </c>
      <c r="G8" s="11" t="s">
        <v>177</v>
      </c>
      <c r="H8" s="11" t="s">
        <v>178</v>
      </c>
      <c r="I8" s="11" t="str">
        <f>IF(AI8=0,"Land",IF(AND(AI8&gt;0,AI8&lt;1),"Construction",IF(AI8=1,"Completed")))</f>
        <v>Construction</v>
      </c>
      <c r="J8" s="4">
        <v>0.55000000000000004</v>
      </c>
      <c r="K8" s="4">
        <v>0.75</v>
      </c>
      <c r="L8" s="4">
        <v>0.65</v>
      </c>
      <c r="M8" s="14">
        <v>204389</v>
      </c>
      <c r="N8" s="15">
        <v>180000</v>
      </c>
      <c r="O8" s="15">
        <f>MIN(M8:N8)</f>
        <v>180000</v>
      </c>
      <c r="P8" s="15">
        <v>625000</v>
      </c>
      <c r="Q8" s="3">
        <f>IF(AV69&gt;0,MIN(P8,AV69),P8)</f>
        <v>625000</v>
      </c>
      <c r="R8" s="5">
        <f>Q8/T8</f>
        <v>255.41479362484674</v>
      </c>
      <c r="S8" s="16">
        <v>5264</v>
      </c>
      <c r="T8" s="16">
        <v>2447</v>
      </c>
      <c r="U8" s="1">
        <v>304700</v>
      </c>
      <c r="V8" s="6">
        <f>U8/T8</f>
        <v>124.51982018798529</v>
      </c>
      <c r="W8" s="23">
        <f>J8*MIN(M8:N8)</f>
        <v>99000.000000000015</v>
      </c>
      <c r="X8" s="23">
        <f>MAX(IF(Q8="",0,MIN(((U8+M8)*K8)-W8,(Q8*L8)-W8)),0)</f>
        <v>282816.75</v>
      </c>
      <c r="Y8" s="23">
        <f>W8+X8</f>
        <v>381816.75</v>
      </c>
      <c r="Z8" s="24">
        <f>IF(Q8&gt;0,Y8/Q8,Y8/N8)</f>
        <v>0.61090679999999997</v>
      </c>
      <c r="AA8" s="24">
        <f>IF(Q8&gt;0,Y8/(M8+U8),Y8/M8)</f>
        <v>0.75</v>
      </c>
      <c r="AB8" s="5">
        <f t="shared" si="15"/>
        <v>283703.34999999998</v>
      </c>
      <c r="AC8" s="17">
        <v>44068</v>
      </c>
      <c r="AD8" s="25">
        <v>99000.000000000015</v>
      </c>
      <c r="AE8" s="25">
        <f>100910.85+29555.9+54236.6</f>
        <v>184703.35</v>
      </c>
      <c r="AF8" s="26">
        <f>SUM(AD8:AE8)</f>
        <v>283703.35000000003</v>
      </c>
      <c r="AG8" s="26">
        <f t="shared" si="0"/>
        <v>0</v>
      </c>
      <c r="AH8" s="23">
        <f t="shared" si="1"/>
        <v>0</v>
      </c>
      <c r="AI8" s="27">
        <v>0.67800000000000005</v>
      </c>
      <c r="AJ8" s="23">
        <f t="shared" si="17"/>
        <v>0</v>
      </c>
      <c r="AK8" s="23">
        <f t="shared" si="2"/>
        <v>98113.39999999998</v>
      </c>
      <c r="AL8" s="23">
        <f t="shared" si="3"/>
        <v>98113.399999999965</v>
      </c>
      <c r="AM8" s="2">
        <v>283703.34999999998</v>
      </c>
      <c r="AN8" s="2"/>
      <c r="AO8" s="28">
        <f>AM8-AN8</f>
        <v>283703.34999999998</v>
      </c>
      <c r="AP8" s="18">
        <v>44111</v>
      </c>
      <c r="AQ8" s="18">
        <v>44137</v>
      </c>
      <c r="AR8" s="18">
        <v>44162</v>
      </c>
      <c r="AS8" s="11"/>
      <c r="AT8" s="2">
        <f t="shared" si="4"/>
        <v>595238.09523809527</v>
      </c>
      <c r="AU8" s="2">
        <f>AV8-AT8</f>
        <v>29761.904761904734</v>
      </c>
      <c r="AV8" s="14">
        <v>625000</v>
      </c>
      <c r="AW8" s="14"/>
      <c r="AX8" s="14">
        <f>25000+31250+100000</f>
        <v>156250</v>
      </c>
      <c r="AY8" s="29">
        <f t="shared" si="5"/>
        <v>0.25</v>
      </c>
      <c r="AZ8" s="11" t="s">
        <v>188</v>
      </c>
      <c r="BA8" s="30">
        <f>IFERROR(AV8/P8,0)</f>
        <v>1</v>
      </c>
      <c r="BB8" s="19">
        <v>43801</v>
      </c>
      <c r="BC8" s="11"/>
    </row>
    <row r="9" spans="2:55" hidden="1" x14ac:dyDescent="0.3">
      <c r="B9" s="11" t="s">
        <v>189</v>
      </c>
      <c r="C9" s="21">
        <v>1910205</v>
      </c>
      <c r="D9" s="13">
        <v>2</v>
      </c>
      <c r="E9" s="13">
        <v>5</v>
      </c>
      <c r="F9" s="11" t="s">
        <v>176</v>
      </c>
      <c r="G9" s="11" t="s">
        <v>177</v>
      </c>
      <c r="H9" s="11" t="s">
        <v>190</v>
      </c>
      <c r="I9" s="11" t="str">
        <f t="shared" ref="I9" si="19">IF(AI9=0,"Land",IF(AND(AI9&gt;0,AI9&lt;1),"Construction",IF(AI9=1,"Completed")))</f>
        <v>Completed</v>
      </c>
      <c r="J9" s="4">
        <v>0.55000000000000004</v>
      </c>
      <c r="K9" s="4">
        <v>0.75</v>
      </c>
      <c r="L9" s="4">
        <v>0.65</v>
      </c>
      <c r="M9" s="14">
        <v>214757</v>
      </c>
      <c r="N9" s="15">
        <v>175000</v>
      </c>
      <c r="O9" s="15">
        <f t="shared" ref="O9:O11" si="20">MIN(M9:N9)</f>
        <v>175000</v>
      </c>
      <c r="P9" s="15">
        <v>622000</v>
      </c>
      <c r="Q9" s="3">
        <f>IF(AV9&gt;0,MIN(P9,AV9),P9)</f>
        <v>622000</v>
      </c>
      <c r="R9" s="5">
        <f t="shared" ref="R9:R11" si="21">Q9/T9</f>
        <v>256.60066006600658</v>
      </c>
      <c r="S9" s="16">
        <f>464*10.7639</f>
        <v>4994.4495999999999</v>
      </c>
      <c r="T9" s="16">
        <v>2424</v>
      </c>
      <c r="U9" s="1">
        <v>373978.80729249993</v>
      </c>
      <c r="V9" s="6">
        <f t="shared" ref="V9:V11" si="22">U9/T9</f>
        <v>154.28168617677389</v>
      </c>
      <c r="W9" s="23">
        <f t="shared" ref="W9:W10" si="23">J9*MIN(M9:N9)</f>
        <v>96250.000000000015</v>
      </c>
      <c r="X9" s="23">
        <f t="shared" ref="X9:X11" si="24">MAX(IF(Q9="",0,MIN(((U9+M9)*K9)-W9,(Q9*L9)-W9)),0)</f>
        <v>308050</v>
      </c>
      <c r="Y9" s="31">
        <f>W9+X9</f>
        <v>404300</v>
      </c>
      <c r="Z9" s="24">
        <f t="shared" ref="Z9:Z11" si="25">IF(Q9&gt;0,Y9/Q9,Y9/N9)</f>
        <v>0.65</v>
      </c>
      <c r="AA9" s="24">
        <f t="shared" ref="AA9:AA11" si="26">IF(Q9&gt;0,Y9/(M9+U9),Y9/M9)</f>
        <v>0.68672568407094148</v>
      </c>
      <c r="AB9" s="5">
        <f t="shared" si="15"/>
        <v>404300</v>
      </c>
      <c r="AC9" s="17">
        <v>44008</v>
      </c>
      <c r="AD9" s="25">
        <v>87500</v>
      </c>
      <c r="AE9" s="25">
        <f>285700+23532.5+23117.5</f>
        <v>332350</v>
      </c>
      <c r="AF9" s="26">
        <f t="shared" ref="AF9" si="27">SUM(AD9:AE9)</f>
        <v>419850</v>
      </c>
      <c r="AG9" s="26">
        <f t="shared" si="0"/>
        <v>0</v>
      </c>
      <c r="AH9" s="23">
        <f t="shared" si="1"/>
        <v>-15550</v>
      </c>
      <c r="AI9" s="27">
        <v>1</v>
      </c>
      <c r="AJ9" s="23">
        <f t="shared" si="17"/>
        <v>0</v>
      </c>
      <c r="AK9" s="23">
        <f t="shared" si="2"/>
        <v>0</v>
      </c>
      <c r="AL9" s="23">
        <f t="shared" si="3"/>
        <v>-15550</v>
      </c>
      <c r="AM9" s="2">
        <v>419850</v>
      </c>
      <c r="AN9" s="2"/>
      <c r="AO9" s="28">
        <f t="shared" ref="AO9:AO11" si="28">AM9-AN9</f>
        <v>419850</v>
      </c>
      <c r="AP9" s="18">
        <v>44174</v>
      </c>
      <c r="AQ9" s="18">
        <v>44180</v>
      </c>
      <c r="AR9" s="18">
        <v>44211</v>
      </c>
      <c r="AS9" s="11"/>
      <c r="AT9" s="2">
        <f t="shared" si="4"/>
        <v>600000</v>
      </c>
      <c r="AU9" s="2">
        <f>AT9*0.05</f>
        <v>30000</v>
      </c>
      <c r="AV9" s="32">
        <v>630000</v>
      </c>
      <c r="AW9" s="32"/>
      <c r="AX9" s="14">
        <v>63000</v>
      </c>
      <c r="AY9" s="29">
        <f t="shared" si="5"/>
        <v>0.1</v>
      </c>
      <c r="AZ9" s="11" t="s">
        <v>191</v>
      </c>
      <c r="BA9" s="33">
        <f>IFERROR(AV9/P9,0)</f>
        <v>1.0128617363344052</v>
      </c>
      <c r="BB9" s="18">
        <v>44077</v>
      </c>
      <c r="BC9" s="11"/>
    </row>
    <row r="10" spans="2:55" hidden="1" x14ac:dyDescent="0.3">
      <c r="B10" s="11" t="s">
        <v>192</v>
      </c>
      <c r="C10" s="22" t="s">
        <v>181</v>
      </c>
      <c r="D10" s="13">
        <v>2</v>
      </c>
      <c r="E10" s="13">
        <v>2</v>
      </c>
      <c r="F10" s="11" t="s">
        <v>176</v>
      </c>
      <c r="G10" s="11" t="s">
        <v>177</v>
      </c>
      <c r="H10" s="11" t="s">
        <v>178</v>
      </c>
      <c r="I10" s="11" t="str">
        <f>IF(AI10=0,"Land",IF(AND(AI10&gt;0,AI10&lt;1),"Construction",IF(AI10=1,"Completed")))</f>
        <v>Construction</v>
      </c>
      <c r="J10" s="4">
        <v>0.6</v>
      </c>
      <c r="K10" s="4">
        <v>0.77500000000000002</v>
      </c>
      <c r="L10" s="4">
        <v>0.67500000000000004</v>
      </c>
      <c r="M10" s="14">
        <v>205234</v>
      </c>
      <c r="N10" s="15">
        <v>180000</v>
      </c>
      <c r="O10" s="15">
        <f t="shared" si="20"/>
        <v>180000</v>
      </c>
      <c r="P10" s="15">
        <v>668000</v>
      </c>
      <c r="Q10" s="3">
        <f>IF(AV10&gt;0,MIN(P10,AV10),P10)</f>
        <v>665000</v>
      </c>
      <c r="R10" s="5">
        <f t="shared" si="21"/>
        <v>221.44522144522145</v>
      </c>
      <c r="S10" s="16">
        <v>4897</v>
      </c>
      <c r="T10" s="16">
        <v>3003</v>
      </c>
      <c r="U10" s="1">
        <v>375400</v>
      </c>
      <c r="V10" s="6">
        <f t="shared" si="22"/>
        <v>125.008325008325</v>
      </c>
      <c r="W10" s="23">
        <f t="shared" si="23"/>
        <v>108000</v>
      </c>
      <c r="X10" s="23">
        <f t="shared" si="24"/>
        <v>340875.00000000006</v>
      </c>
      <c r="Y10" s="31">
        <f t="shared" ref="Y10:Y11" si="29">W10+X10</f>
        <v>448875.00000000006</v>
      </c>
      <c r="Z10" s="24">
        <f t="shared" si="25"/>
        <v>0.67500000000000004</v>
      </c>
      <c r="AA10" s="24">
        <f t="shared" si="26"/>
        <v>0.77307736026481411</v>
      </c>
      <c r="AB10" s="5">
        <f t="shared" si="15"/>
        <v>416590.6</v>
      </c>
      <c r="AC10" s="17">
        <v>44154</v>
      </c>
      <c r="AD10" s="25">
        <v>108000</v>
      </c>
      <c r="AE10" s="25">
        <f>143039.2+70199.8+95351.6</f>
        <v>308590.59999999998</v>
      </c>
      <c r="AF10" s="26">
        <f t="shared" ref="AF10:AF11" si="30">SUM(AD10:AE10)</f>
        <v>416590.6</v>
      </c>
      <c r="AG10" s="26">
        <f t="shared" si="0"/>
        <v>0</v>
      </c>
      <c r="AH10" s="23">
        <f t="shared" si="1"/>
        <v>0</v>
      </c>
      <c r="AI10" s="27">
        <v>0.91400000000000003</v>
      </c>
      <c r="AJ10" s="23">
        <f t="shared" si="17"/>
        <v>0</v>
      </c>
      <c r="AK10" s="23">
        <f t="shared" si="2"/>
        <v>32284.399999999987</v>
      </c>
      <c r="AL10" s="23">
        <f t="shared" si="3"/>
        <v>32284.400000000081</v>
      </c>
      <c r="AM10" s="2">
        <v>416590.6</v>
      </c>
      <c r="AN10" s="2"/>
      <c r="AO10" s="2">
        <f t="shared" si="28"/>
        <v>416590.6</v>
      </c>
      <c r="AP10" s="18">
        <v>44223</v>
      </c>
      <c r="AQ10" s="18">
        <v>44228</v>
      </c>
      <c r="AR10" s="11"/>
      <c r="AS10" s="11"/>
      <c r="AT10" s="2">
        <f t="shared" si="4"/>
        <v>633333.33333333326</v>
      </c>
      <c r="AU10" s="2">
        <f>AT10*0.05</f>
        <v>31666.666666666664</v>
      </c>
      <c r="AV10" s="2">
        <v>665000</v>
      </c>
      <c r="AW10" s="2"/>
      <c r="AX10" s="14">
        <f>5000+94750</f>
        <v>99750</v>
      </c>
      <c r="AY10" s="29">
        <f t="shared" si="5"/>
        <v>0.15</v>
      </c>
      <c r="AZ10" s="11" t="s">
        <v>193</v>
      </c>
      <c r="BA10" s="33">
        <f>IFERROR(AV10/P10,0)</f>
        <v>0.99550898203592819</v>
      </c>
      <c r="BB10" s="19">
        <v>44037</v>
      </c>
      <c r="BC10" s="11"/>
    </row>
    <row r="11" spans="2:55" hidden="1" x14ac:dyDescent="0.3">
      <c r="B11" s="11" t="s">
        <v>194</v>
      </c>
      <c r="C11" s="20" t="s">
        <v>181</v>
      </c>
      <c r="D11" s="13">
        <v>1</v>
      </c>
      <c r="E11" s="13">
        <v>6</v>
      </c>
      <c r="F11" s="11" t="s">
        <v>176</v>
      </c>
      <c r="G11" s="11" t="s">
        <v>177</v>
      </c>
      <c r="H11" s="11" t="s">
        <v>195</v>
      </c>
      <c r="I11" s="11" t="str">
        <f>IF(AI11=0,"Land",IF(AND(AI11&gt;0,AI11&lt;1),"Construction",IF(AI11=1,"Completed")))</f>
        <v>Construction</v>
      </c>
      <c r="J11" s="4">
        <v>0.5</v>
      </c>
      <c r="K11" s="4">
        <v>0.72499999999999998</v>
      </c>
      <c r="L11" s="4">
        <v>0.625</v>
      </c>
      <c r="M11" s="14">
        <v>211331</v>
      </c>
      <c r="N11" s="15">
        <v>200000</v>
      </c>
      <c r="O11" s="15">
        <f t="shared" si="20"/>
        <v>200000</v>
      </c>
      <c r="P11" s="15">
        <v>585000</v>
      </c>
      <c r="Q11" s="3">
        <f>IF(AV11&gt;0,MIN(P11,AV11),P11)</f>
        <v>585000</v>
      </c>
      <c r="R11" s="5">
        <f t="shared" si="21"/>
        <v>253.68603642671292</v>
      </c>
      <c r="S11" s="16">
        <v>5242</v>
      </c>
      <c r="T11" s="16">
        <v>2306</v>
      </c>
      <c r="U11" s="1">
        <v>318700</v>
      </c>
      <c r="V11" s="6">
        <f t="shared" si="22"/>
        <v>138.20468343451864</v>
      </c>
      <c r="W11" s="23">
        <f>J11*MIN(M11:N11)</f>
        <v>100000</v>
      </c>
      <c r="X11" s="23">
        <f t="shared" si="24"/>
        <v>265625</v>
      </c>
      <c r="Y11" s="23">
        <f t="shared" si="29"/>
        <v>365625</v>
      </c>
      <c r="Z11" s="24">
        <f t="shared" si="25"/>
        <v>0.625</v>
      </c>
      <c r="AA11" s="24">
        <f t="shared" si="26"/>
        <v>0.68981814271240738</v>
      </c>
      <c r="AB11" s="5">
        <f t="shared" si="15"/>
        <v>361800.6</v>
      </c>
      <c r="AC11" s="17">
        <v>44154</v>
      </c>
      <c r="AD11" s="25">
        <v>100000</v>
      </c>
      <c r="AE11" s="25">
        <f>180850.8+84774.2</f>
        <v>265625</v>
      </c>
      <c r="AF11" s="26">
        <f t="shared" si="30"/>
        <v>365625</v>
      </c>
      <c r="AG11" s="26">
        <f t="shared" si="0"/>
        <v>0</v>
      </c>
      <c r="AH11" s="23">
        <f t="shared" si="1"/>
        <v>-3824.4000000000233</v>
      </c>
      <c r="AI11" s="27">
        <v>0.98799999999999999</v>
      </c>
      <c r="AJ11" s="23">
        <f t="shared" si="17"/>
        <v>0</v>
      </c>
      <c r="AK11" s="23">
        <f t="shared" si="2"/>
        <v>3824.4000000000033</v>
      </c>
      <c r="AL11" s="23">
        <f t="shared" si="3"/>
        <v>0</v>
      </c>
      <c r="AM11" s="2">
        <v>365625</v>
      </c>
      <c r="AN11" s="2"/>
      <c r="AO11" s="28">
        <f t="shared" si="28"/>
        <v>365625</v>
      </c>
      <c r="AP11" s="18">
        <v>44236</v>
      </c>
      <c r="AQ11" s="18">
        <v>44244</v>
      </c>
      <c r="AR11" s="18">
        <v>44274</v>
      </c>
      <c r="AS11" s="11"/>
      <c r="AT11" s="2">
        <f t="shared" si="4"/>
        <v>588571.42857142852</v>
      </c>
      <c r="AU11" s="2">
        <f>AV11-AT11</f>
        <v>29428.571428571478</v>
      </c>
      <c r="AV11" s="14">
        <v>618000</v>
      </c>
      <c r="AW11" s="14"/>
      <c r="AX11" s="14">
        <v>30000</v>
      </c>
      <c r="AY11" s="29">
        <f t="shared" si="5"/>
        <v>4.8543689320388349E-2</v>
      </c>
      <c r="AZ11" s="11" t="s">
        <v>196</v>
      </c>
      <c r="BA11" s="30">
        <f>IFERROR(AV11/P11,0)</f>
        <v>1.0564102564102564</v>
      </c>
      <c r="BB11" s="19">
        <v>44208</v>
      </c>
      <c r="BC11" s="11"/>
    </row>
    <row r="12" spans="2:55" hidden="1" x14ac:dyDescent="0.3">
      <c r="B12" s="11" t="s">
        <v>197</v>
      </c>
      <c r="C12" s="20" t="s">
        <v>175</v>
      </c>
      <c r="D12" s="13">
        <v>44</v>
      </c>
      <c r="E12" s="13">
        <v>20</v>
      </c>
      <c r="F12" s="11" t="s">
        <v>176</v>
      </c>
      <c r="G12" s="11" t="s">
        <v>177</v>
      </c>
      <c r="H12" s="11" t="s">
        <v>178</v>
      </c>
      <c r="I12" s="11" t="s">
        <v>198</v>
      </c>
      <c r="J12" s="34">
        <v>0.55000000000000004</v>
      </c>
      <c r="K12" s="34">
        <v>0.75</v>
      </c>
      <c r="L12" s="34">
        <v>0.65</v>
      </c>
      <c r="M12" s="14">
        <v>205000</v>
      </c>
      <c r="N12" s="15">
        <v>200000</v>
      </c>
      <c r="O12" s="15">
        <v>200000</v>
      </c>
      <c r="P12" s="15">
        <v>780000</v>
      </c>
      <c r="Q12" s="3">
        <v>780000</v>
      </c>
      <c r="R12" s="5">
        <v>237.37066342057213</v>
      </c>
      <c r="S12" s="16">
        <v>5511.1167999999998</v>
      </c>
      <c r="T12" s="16">
        <v>3286</v>
      </c>
      <c r="U12" s="1">
        <v>407500</v>
      </c>
      <c r="V12" s="6">
        <v>124.01095556908095</v>
      </c>
      <c r="W12" s="23">
        <v>110000.00000000001</v>
      </c>
      <c r="X12" s="23">
        <v>349375</v>
      </c>
      <c r="Y12" s="23">
        <v>459375</v>
      </c>
      <c r="Z12" s="24">
        <v>0.58894230769230771</v>
      </c>
      <c r="AA12" s="24">
        <v>0.75</v>
      </c>
      <c r="AB12" s="5">
        <v>434925</v>
      </c>
      <c r="AC12" s="17">
        <v>44008</v>
      </c>
      <c r="AD12" s="25">
        <v>110000.00000000001</v>
      </c>
      <c r="AE12" s="25">
        <v>290695</v>
      </c>
      <c r="AF12" s="26">
        <v>400695</v>
      </c>
      <c r="AG12" s="26">
        <v>0</v>
      </c>
      <c r="AH12" s="23">
        <v>34230</v>
      </c>
      <c r="AI12" s="27">
        <v>0.94</v>
      </c>
      <c r="AJ12" s="23">
        <v>0</v>
      </c>
      <c r="AK12" s="23">
        <v>24450.000000000022</v>
      </c>
      <c r="AL12" s="23">
        <v>58680</v>
      </c>
      <c r="AM12" s="2">
        <v>400695</v>
      </c>
      <c r="AN12" s="2"/>
      <c r="AO12" s="28">
        <v>400695</v>
      </c>
      <c r="AP12" s="18">
        <v>44067</v>
      </c>
      <c r="AQ12" s="18">
        <v>44068</v>
      </c>
      <c r="AR12" s="11"/>
      <c r="AS12" s="11"/>
      <c r="AT12" s="2">
        <v>743333.33333333326</v>
      </c>
      <c r="AU12" s="2">
        <v>37166.666666666664</v>
      </c>
      <c r="AV12" s="14">
        <v>780500</v>
      </c>
      <c r="AW12" s="14"/>
      <c r="AX12" s="14">
        <v>55000</v>
      </c>
      <c r="AY12" s="35">
        <v>7.0467648942985267E-2</v>
      </c>
      <c r="AZ12" s="11" t="s">
        <v>199</v>
      </c>
      <c r="BA12" s="30">
        <v>1.0006410256410256</v>
      </c>
      <c r="BB12" s="19">
        <v>43791</v>
      </c>
      <c r="BC12" s="11"/>
    </row>
    <row r="13" spans="2:55" hidden="1" x14ac:dyDescent="0.3">
      <c r="B13" s="11" t="s">
        <v>200</v>
      </c>
      <c r="C13" s="22" t="s">
        <v>201</v>
      </c>
      <c r="D13" s="13">
        <v>4</v>
      </c>
      <c r="E13" s="13" t="s">
        <v>202</v>
      </c>
      <c r="F13" s="11" t="s">
        <v>203</v>
      </c>
      <c r="G13" s="11" t="s">
        <v>177</v>
      </c>
      <c r="H13" s="11" t="s">
        <v>195</v>
      </c>
      <c r="I13" s="11" t="s">
        <v>204</v>
      </c>
      <c r="J13" s="4">
        <v>0.5</v>
      </c>
      <c r="K13" s="4">
        <v>0.67500000000000004</v>
      </c>
      <c r="L13" s="4">
        <v>0.57499999999999996</v>
      </c>
      <c r="M13" s="14">
        <v>134400</v>
      </c>
      <c r="N13" s="15">
        <v>70000</v>
      </c>
      <c r="O13" s="15">
        <v>70000</v>
      </c>
      <c r="P13" s="15">
        <v>463000</v>
      </c>
      <c r="Q13" s="3">
        <v>463000</v>
      </c>
      <c r="R13" s="5">
        <v>314.11126187245588</v>
      </c>
      <c r="S13" s="16">
        <v>7803.8274999999994</v>
      </c>
      <c r="T13" s="16">
        <v>1474</v>
      </c>
      <c r="U13" s="1">
        <v>271200</v>
      </c>
      <c r="V13" s="6">
        <v>183.98914518317503</v>
      </c>
      <c r="W13" s="23">
        <v>35000</v>
      </c>
      <c r="X13" s="23">
        <v>231225</v>
      </c>
      <c r="Y13" s="31">
        <v>266225</v>
      </c>
      <c r="Z13" s="24">
        <v>0.57499999999999996</v>
      </c>
      <c r="AA13" s="24">
        <v>0.65637327416173574</v>
      </c>
      <c r="AB13" s="5">
        <v>266225</v>
      </c>
      <c r="AC13" s="17">
        <v>44008</v>
      </c>
      <c r="AD13" s="25">
        <v>35000</v>
      </c>
      <c r="AE13" s="25">
        <v>230851.25000000003</v>
      </c>
      <c r="AF13" s="26">
        <v>265851.25</v>
      </c>
      <c r="AG13" s="23">
        <v>0</v>
      </c>
      <c r="AH13" s="23">
        <v>373.75</v>
      </c>
      <c r="AI13" s="27">
        <v>1</v>
      </c>
      <c r="AJ13" s="23">
        <v>0</v>
      </c>
      <c r="AK13" s="23">
        <v>0</v>
      </c>
      <c r="AL13" s="23">
        <v>373.75</v>
      </c>
      <c r="AM13" s="2">
        <v>265851.25</v>
      </c>
      <c r="AN13" s="2"/>
      <c r="AO13" s="2">
        <v>265851.25</v>
      </c>
      <c r="AP13" s="18">
        <v>44236</v>
      </c>
      <c r="AQ13" s="18">
        <v>44257</v>
      </c>
      <c r="AR13" s="18">
        <v>44295</v>
      </c>
      <c r="AS13" s="11"/>
      <c r="AT13" s="2">
        <v>449523.80952380953</v>
      </c>
      <c r="AU13" s="2">
        <v>22476.190476190477</v>
      </c>
      <c r="AV13" s="2">
        <v>472000</v>
      </c>
      <c r="AW13" s="2"/>
      <c r="AX13" s="14">
        <v>15000</v>
      </c>
      <c r="AY13" s="29">
        <v>3.1779661016949151E-2</v>
      </c>
      <c r="AZ13" s="11" t="s">
        <v>205</v>
      </c>
      <c r="BA13" s="33">
        <v>1.0194384449244061</v>
      </c>
      <c r="BB13" s="19">
        <v>44147</v>
      </c>
      <c r="BC13" s="11"/>
    </row>
    <row r="14" spans="2:55" hidden="1" x14ac:dyDescent="0.3">
      <c r="B14" s="11" t="s">
        <v>206</v>
      </c>
      <c r="C14" s="22" t="s">
        <v>181</v>
      </c>
      <c r="D14" s="13">
        <v>2</v>
      </c>
      <c r="E14" s="13">
        <v>1</v>
      </c>
      <c r="F14" s="11" t="s">
        <v>176</v>
      </c>
      <c r="G14" s="11" t="s">
        <v>177</v>
      </c>
      <c r="H14" s="11" t="s">
        <v>178</v>
      </c>
      <c r="I14" s="11" t="s">
        <v>198</v>
      </c>
      <c r="J14" s="4">
        <v>0.6</v>
      </c>
      <c r="K14" s="4">
        <v>0.77500000000000002</v>
      </c>
      <c r="L14" s="4">
        <v>0.67500000000000004</v>
      </c>
      <c r="M14" s="14">
        <v>205234</v>
      </c>
      <c r="N14" s="15">
        <v>180000</v>
      </c>
      <c r="O14" s="15">
        <v>180000</v>
      </c>
      <c r="P14" s="15">
        <v>684000</v>
      </c>
      <c r="Q14" s="3">
        <v>683500</v>
      </c>
      <c r="R14" s="5">
        <v>223.51209941137998</v>
      </c>
      <c r="S14" s="16">
        <v>4898</v>
      </c>
      <c r="T14" s="16">
        <v>3058</v>
      </c>
      <c r="U14" s="1">
        <v>383900</v>
      </c>
      <c r="V14" s="6">
        <v>125.53956834532374</v>
      </c>
      <c r="W14" s="23">
        <v>108000</v>
      </c>
      <c r="X14" s="23">
        <v>348578.85000000003</v>
      </c>
      <c r="Y14" s="31">
        <v>456578.85000000003</v>
      </c>
      <c r="Z14" s="24">
        <v>0.66800124359912216</v>
      </c>
      <c r="AA14" s="24">
        <v>0.77500000000000002</v>
      </c>
      <c r="AB14" s="5">
        <v>412430.35</v>
      </c>
      <c r="AC14" s="17">
        <v>44154</v>
      </c>
      <c r="AD14" s="25">
        <v>108000</v>
      </c>
      <c r="AE14" s="25">
        <v>304430.35000000003</v>
      </c>
      <c r="AF14" s="26">
        <v>412430.35000000003</v>
      </c>
      <c r="AG14" s="23">
        <v>0</v>
      </c>
      <c r="AH14" s="23">
        <v>0</v>
      </c>
      <c r="AI14" s="27">
        <v>0.88500000000000001</v>
      </c>
      <c r="AJ14" s="23">
        <v>0</v>
      </c>
      <c r="AK14" s="23">
        <v>44148.5</v>
      </c>
      <c r="AL14" s="23">
        <v>44148.5</v>
      </c>
      <c r="AM14" s="2">
        <v>412430.35</v>
      </c>
      <c r="AN14" s="2"/>
      <c r="AO14" s="28">
        <v>412430.35</v>
      </c>
      <c r="AP14" s="18">
        <v>44300</v>
      </c>
      <c r="AQ14" s="18">
        <v>44305</v>
      </c>
      <c r="AR14" s="18">
        <v>44335</v>
      </c>
      <c r="AS14" s="11"/>
      <c r="AT14" s="2">
        <v>650952.38095238095</v>
      </c>
      <c r="AU14" s="2">
        <v>32547.61904761905</v>
      </c>
      <c r="AV14" s="2">
        <v>683500</v>
      </c>
      <c r="AW14" s="2"/>
      <c r="AX14" s="14">
        <v>34175</v>
      </c>
      <c r="AY14" s="29">
        <v>0.05</v>
      </c>
      <c r="AZ14" s="11" t="s">
        <v>207</v>
      </c>
      <c r="BA14" s="33">
        <v>0.9992690058479532</v>
      </c>
      <c r="BB14" s="19">
        <v>43990</v>
      </c>
      <c r="BC14" s="11"/>
    </row>
    <row r="15" spans="2:55" hidden="1" x14ac:dyDescent="0.3">
      <c r="B15" s="11" t="s">
        <v>208</v>
      </c>
      <c r="C15" s="22" t="s">
        <v>209</v>
      </c>
      <c r="D15" s="13">
        <v>3</v>
      </c>
      <c r="E15" s="13" t="s">
        <v>202</v>
      </c>
      <c r="F15" s="11" t="s">
        <v>37</v>
      </c>
      <c r="G15" s="11" t="s">
        <v>177</v>
      </c>
      <c r="H15" s="11" t="s">
        <v>195</v>
      </c>
      <c r="I15" s="11" t="s">
        <v>198</v>
      </c>
      <c r="J15" s="4">
        <v>0.5</v>
      </c>
      <c r="K15" s="4">
        <v>0.72499999999999998</v>
      </c>
      <c r="L15" s="4">
        <v>0.625</v>
      </c>
      <c r="M15" s="14">
        <v>153750</v>
      </c>
      <c r="N15" s="15">
        <v>160000</v>
      </c>
      <c r="O15" s="15">
        <v>153750</v>
      </c>
      <c r="P15" s="15">
        <v>539900</v>
      </c>
      <c r="Q15" s="3">
        <v>538000</v>
      </c>
      <c r="R15" s="5">
        <v>381.83108587650815</v>
      </c>
      <c r="S15" s="16">
        <v>1400</v>
      </c>
      <c r="T15" s="16">
        <v>1409</v>
      </c>
      <c r="U15" s="1">
        <v>280901.07135338057</v>
      </c>
      <c r="V15" s="6">
        <v>199.36200947720408</v>
      </c>
      <c r="W15" s="23">
        <v>76875</v>
      </c>
      <c r="X15" s="23">
        <v>238247.02673120092</v>
      </c>
      <c r="Y15" s="31">
        <v>315122.02673120092</v>
      </c>
      <c r="Z15" s="24">
        <v>0.58572867422156305</v>
      </c>
      <c r="AA15" s="24">
        <v>0.72499999999999998</v>
      </c>
      <c r="AB15" s="5">
        <v>285908.32</v>
      </c>
      <c r="AC15" s="17">
        <v>44008</v>
      </c>
      <c r="AD15" s="25">
        <v>76875</v>
      </c>
      <c r="AE15" s="25">
        <v>209033.32</v>
      </c>
      <c r="AF15" s="26">
        <v>285908.32</v>
      </c>
      <c r="AG15" s="23">
        <v>0</v>
      </c>
      <c r="AH15" s="23">
        <v>0</v>
      </c>
      <c r="AI15" s="27">
        <v>0.89600000000000002</v>
      </c>
      <c r="AJ15" s="23">
        <v>0</v>
      </c>
      <c r="AK15" s="23">
        <v>29213.711420751573</v>
      </c>
      <c r="AL15" s="23">
        <v>29213.706731200917</v>
      </c>
      <c r="AM15" s="2">
        <v>285908.32</v>
      </c>
      <c r="AN15" s="2"/>
      <c r="AO15" s="28">
        <v>285908.32</v>
      </c>
      <c r="AP15" s="18">
        <v>44305</v>
      </c>
      <c r="AQ15" s="18">
        <v>44306</v>
      </c>
      <c r="AR15" s="18">
        <v>44335</v>
      </c>
      <c r="AS15" s="11"/>
      <c r="AT15" s="2">
        <v>512380.95238095237</v>
      </c>
      <c r="AU15" s="2">
        <v>25619.047619047618</v>
      </c>
      <c r="AV15" s="2">
        <v>538000</v>
      </c>
      <c r="AW15" s="2"/>
      <c r="AX15" s="32">
        <v>10000</v>
      </c>
      <c r="AY15" s="29">
        <v>1.858736059479554E-2</v>
      </c>
      <c r="AZ15" s="11" t="s">
        <v>210</v>
      </c>
      <c r="BA15" s="33">
        <v>0.99648082978329322</v>
      </c>
      <c r="BB15" s="19">
        <v>44257</v>
      </c>
      <c r="BC15" s="11"/>
    </row>
    <row r="16" spans="2:55" hidden="1" x14ac:dyDescent="0.3">
      <c r="B16" s="11" t="s">
        <v>211</v>
      </c>
      <c r="C16" s="22" t="s">
        <v>212</v>
      </c>
      <c r="D16" s="13">
        <v>11</v>
      </c>
      <c r="E16" s="13">
        <v>42</v>
      </c>
      <c r="F16" s="11" t="s">
        <v>176</v>
      </c>
      <c r="G16" s="11" t="s">
        <v>177</v>
      </c>
      <c r="H16" s="11" t="s">
        <v>178</v>
      </c>
      <c r="I16" s="11" t="s">
        <v>198</v>
      </c>
      <c r="J16" s="4">
        <v>0.6</v>
      </c>
      <c r="K16" s="4">
        <v>0.77500000000000002</v>
      </c>
      <c r="L16" s="4">
        <v>0.67500000000000004</v>
      </c>
      <c r="M16" s="14">
        <v>187000</v>
      </c>
      <c r="N16" s="14">
        <v>215000</v>
      </c>
      <c r="O16" s="15">
        <v>187000</v>
      </c>
      <c r="P16" s="15">
        <v>685000</v>
      </c>
      <c r="Q16" s="3">
        <v>685000</v>
      </c>
      <c r="R16" s="5">
        <v>230.71741327046144</v>
      </c>
      <c r="S16" s="16">
        <v>5748</v>
      </c>
      <c r="T16" s="16">
        <v>2969</v>
      </c>
      <c r="U16" s="1">
        <v>388300</v>
      </c>
      <c r="V16" s="6">
        <v>130.78477601886158</v>
      </c>
      <c r="W16" s="23">
        <v>112200</v>
      </c>
      <c r="X16" s="23">
        <v>333657.5</v>
      </c>
      <c r="Y16" s="31">
        <v>445857.5</v>
      </c>
      <c r="Z16" s="24">
        <v>0.65088686131386864</v>
      </c>
      <c r="AA16" s="24">
        <v>0.77500000000000002</v>
      </c>
      <c r="AB16" s="5">
        <v>427995.7</v>
      </c>
      <c r="AC16" s="17">
        <v>44154</v>
      </c>
      <c r="AD16" s="25">
        <v>93500</v>
      </c>
      <c r="AE16" s="25">
        <v>334495.69999999995</v>
      </c>
      <c r="AF16" s="26">
        <v>427995.69999999995</v>
      </c>
      <c r="AG16" s="23">
        <v>0</v>
      </c>
      <c r="AH16" s="23">
        <v>0</v>
      </c>
      <c r="AI16" s="27">
        <v>0.95399999999999996</v>
      </c>
      <c r="AJ16" s="23">
        <v>0</v>
      </c>
      <c r="AK16" s="23">
        <v>17861.800000000017</v>
      </c>
      <c r="AL16" s="23">
        <v>17861.800000000047</v>
      </c>
      <c r="AM16" s="2">
        <v>427995.7</v>
      </c>
      <c r="AN16" s="2"/>
      <c r="AO16" s="28">
        <v>427995.7</v>
      </c>
      <c r="AP16" s="18">
        <v>44330</v>
      </c>
      <c r="AQ16" s="18">
        <v>44341</v>
      </c>
      <c r="AR16" s="18">
        <v>44375</v>
      </c>
      <c r="AS16" s="11"/>
      <c r="AT16" s="2">
        <v>669828.57142857136</v>
      </c>
      <c r="AU16" s="2">
        <v>33491.428571428638</v>
      </c>
      <c r="AV16" s="2">
        <v>703320</v>
      </c>
      <c r="AW16" s="2"/>
      <c r="AX16" s="14">
        <v>10000</v>
      </c>
      <c r="AY16" s="29">
        <v>1.4218279019507479E-2</v>
      </c>
      <c r="AZ16" s="19" t="s">
        <v>213</v>
      </c>
      <c r="BA16" s="33">
        <v>1.0267445255474452</v>
      </c>
      <c r="BB16" s="18">
        <v>44195</v>
      </c>
      <c r="BC16" s="36"/>
    </row>
    <row r="17" spans="2:55" hidden="1" x14ac:dyDescent="0.3">
      <c r="B17" s="11" t="s">
        <v>214</v>
      </c>
      <c r="C17" s="22" t="s">
        <v>209</v>
      </c>
      <c r="D17" s="13">
        <v>4</v>
      </c>
      <c r="E17" s="13" t="s">
        <v>202</v>
      </c>
      <c r="F17" s="11" t="s">
        <v>37</v>
      </c>
      <c r="G17" s="11" t="s">
        <v>177</v>
      </c>
      <c r="H17" s="11" t="s">
        <v>195</v>
      </c>
      <c r="I17" s="11" t="s">
        <v>204</v>
      </c>
      <c r="J17" s="4">
        <v>0.5</v>
      </c>
      <c r="K17" s="4">
        <v>0.72499999999999998</v>
      </c>
      <c r="L17" s="4">
        <v>0.625</v>
      </c>
      <c r="M17" s="14">
        <v>153750</v>
      </c>
      <c r="N17" s="15">
        <v>160000</v>
      </c>
      <c r="O17" s="15">
        <v>153750</v>
      </c>
      <c r="P17" s="15">
        <v>539900</v>
      </c>
      <c r="Q17" s="3">
        <v>537000</v>
      </c>
      <c r="R17" s="5">
        <v>381.12136266855924</v>
      </c>
      <c r="S17" s="16">
        <v>1400</v>
      </c>
      <c r="T17" s="16">
        <v>1409</v>
      </c>
      <c r="U17" s="1">
        <v>280901.07135338057</v>
      </c>
      <c r="V17" s="6">
        <v>199.36200947720408</v>
      </c>
      <c r="W17" s="23">
        <v>76875</v>
      </c>
      <c r="X17" s="23">
        <v>238247.02673120092</v>
      </c>
      <c r="Y17" s="31">
        <v>315122.02673120092</v>
      </c>
      <c r="Z17" s="24">
        <v>0.58681941663165904</v>
      </c>
      <c r="AA17" s="24">
        <v>0.72499999999999998</v>
      </c>
      <c r="AB17" s="5">
        <v>309223.09999999998</v>
      </c>
      <c r="AC17" s="17">
        <v>44008</v>
      </c>
      <c r="AD17" s="25">
        <v>76875</v>
      </c>
      <c r="AE17" s="25">
        <v>238247.03</v>
      </c>
      <c r="AF17" s="26">
        <v>315122.03000000003</v>
      </c>
      <c r="AG17" s="23">
        <v>0</v>
      </c>
      <c r="AH17" s="23">
        <v>-5898.9300000000512</v>
      </c>
      <c r="AI17" s="27">
        <v>0.97899999999999998</v>
      </c>
      <c r="AJ17" s="23">
        <v>0</v>
      </c>
      <c r="AK17" s="23">
        <v>5898.9224984209968</v>
      </c>
      <c r="AL17" s="23">
        <v>-3.2687991042621434E-3</v>
      </c>
      <c r="AM17" s="2">
        <v>315122.03000000003</v>
      </c>
      <c r="AN17" s="2"/>
      <c r="AO17" s="28">
        <v>315122.03000000003</v>
      </c>
      <c r="AP17" s="18">
        <v>44390</v>
      </c>
      <c r="AQ17" s="18">
        <v>44398</v>
      </c>
      <c r="AR17" s="18">
        <v>44420</v>
      </c>
      <c r="AS17" s="11"/>
      <c r="AT17" s="2">
        <v>511428.57142857142</v>
      </c>
      <c r="AU17" s="2">
        <v>25571.42857142858</v>
      </c>
      <c r="AV17" s="32">
        <v>537000</v>
      </c>
      <c r="AW17" s="32"/>
      <c r="AX17" s="32">
        <v>10000</v>
      </c>
      <c r="AY17" s="29">
        <v>1.86219739292365E-2</v>
      </c>
      <c r="AZ17" s="11" t="s">
        <v>215</v>
      </c>
      <c r="BA17" s="33">
        <v>0.99462863493239484</v>
      </c>
      <c r="BB17" s="19">
        <v>44278</v>
      </c>
      <c r="BC17" s="11"/>
    </row>
    <row r="18" spans="2:55" hidden="1" x14ac:dyDescent="0.3">
      <c r="B18" s="11" t="s">
        <v>216</v>
      </c>
      <c r="C18" s="22" t="s">
        <v>209</v>
      </c>
      <c r="D18" s="13">
        <v>2</v>
      </c>
      <c r="E18" s="13" t="s">
        <v>202</v>
      </c>
      <c r="F18" s="11" t="s">
        <v>37</v>
      </c>
      <c r="G18" s="11" t="s">
        <v>177</v>
      </c>
      <c r="H18" s="11" t="s">
        <v>195</v>
      </c>
      <c r="I18" s="11" t="s">
        <v>204</v>
      </c>
      <c r="J18" s="4">
        <v>0.5</v>
      </c>
      <c r="K18" s="4">
        <v>0.72499999999999998</v>
      </c>
      <c r="L18" s="4">
        <v>0.625</v>
      </c>
      <c r="M18" s="14">
        <v>153750</v>
      </c>
      <c r="N18" s="15">
        <v>160000</v>
      </c>
      <c r="O18" s="15">
        <v>153750</v>
      </c>
      <c r="P18" s="15">
        <v>539900</v>
      </c>
      <c r="Q18" s="3">
        <v>532000</v>
      </c>
      <c r="R18" s="5">
        <v>377.57274662881474</v>
      </c>
      <c r="S18" s="16">
        <v>1400</v>
      </c>
      <c r="T18" s="16">
        <v>1409</v>
      </c>
      <c r="U18" s="1">
        <v>280901.07135338057</v>
      </c>
      <c r="V18" s="6">
        <v>199.36200947720408</v>
      </c>
      <c r="W18" s="23">
        <v>76875</v>
      </c>
      <c r="X18" s="23">
        <v>238247.02673120092</v>
      </c>
      <c r="Y18" s="31">
        <v>315122.02673120092</v>
      </c>
      <c r="Z18" s="24">
        <v>0.59233463671278375</v>
      </c>
      <c r="AA18" s="24">
        <v>0.72499999999999998</v>
      </c>
      <c r="AB18" s="5">
        <v>309223.09999999998</v>
      </c>
      <c r="AC18" s="17">
        <v>44008</v>
      </c>
      <c r="AD18" s="25">
        <v>76875</v>
      </c>
      <c r="AE18" s="25">
        <v>238247.03</v>
      </c>
      <c r="AF18" s="26">
        <v>315122.03000000003</v>
      </c>
      <c r="AG18" s="23">
        <v>0</v>
      </c>
      <c r="AH18" s="23">
        <v>-5898.9300000000512</v>
      </c>
      <c r="AI18" s="27">
        <v>0.97899999999999998</v>
      </c>
      <c r="AJ18" s="23">
        <v>0</v>
      </c>
      <c r="AK18" s="23">
        <v>5898.9224984209968</v>
      </c>
      <c r="AL18" s="23">
        <v>-3.2687991042621434E-3</v>
      </c>
      <c r="AM18" s="2">
        <v>315122.03000000003</v>
      </c>
      <c r="AN18" s="2"/>
      <c r="AO18" s="28">
        <v>315122.03000000003</v>
      </c>
      <c r="AP18" s="2"/>
      <c r="AQ18" s="18">
        <v>44393</v>
      </c>
      <c r="AR18" s="18">
        <v>44420</v>
      </c>
      <c r="AS18" s="11"/>
      <c r="AT18" s="2">
        <v>506666.66666666663</v>
      </c>
      <c r="AU18" s="2">
        <v>25333.333333333372</v>
      </c>
      <c r="AV18" s="32">
        <v>532000</v>
      </c>
      <c r="AW18" s="32"/>
      <c r="AX18" s="32">
        <v>10000</v>
      </c>
      <c r="AY18" s="29">
        <v>1.8796992481203006E-2</v>
      </c>
      <c r="AZ18" s="11" t="s">
        <v>217</v>
      </c>
      <c r="BA18" s="27">
        <v>0.98536766067790327</v>
      </c>
      <c r="BB18" s="19">
        <v>44344</v>
      </c>
      <c r="BC18" s="11"/>
    </row>
    <row r="19" spans="2:55" hidden="1" x14ac:dyDescent="0.3">
      <c r="B19" s="11" t="s">
        <v>218</v>
      </c>
      <c r="C19" s="22" t="s">
        <v>209</v>
      </c>
      <c r="D19" s="13">
        <v>1</v>
      </c>
      <c r="E19" s="13" t="s">
        <v>202</v>
      </c>
      <c r="F19" s="11" t="s">
        <v>37</v>
      </c>
      <c r="G19" s="11" t="s">
        <v>177</v>
      </c>
      <c r="H19" s="11" t="s">
        <v>195</v>
      </c>
      <c r="I19" s="11" t="s">
        <v>204</v>
      </c>
      <c r="J19" s="4">
        <v>0.5</v>
      </c>
      <c r="K19" s="4">
        <v>0.72499999999999998</v>
      </c>
      <c r="L19" s="4">
        <v>0.625</v>
      </c>
      <c r="M19" s="14">
        <v>153750</v>
      </c>
      <c r="N19" s="15">
        <v>160000</v>
      </c>
      <c r="O19" s="15">
        <v>153750</v>
      </c>
      <c r="P19" s="15">
        <v>539900</v>
      </c>
      <c r="Q19" s="3">
        <v>539900</v>
      </c>
      <c r="R19" s="5">
        <v>383.17955997161107</v>
      </c>
      <c r="S19" s="16">
        <v>1400</v>
      </c>
      <c r="T19" s="16">
        <v>1409</v>
      </c>
      <c r="U19" s="1">
        <v>280901.07135338098</v>
      </c>
      <c r="V19" s="6">
        <v>199.3620094772044</v>
      </c>
      <c r="W19" s="23">
        <v>76875</v>
      </c>
      <c r="X19" s="23">
        <v>238247.02673120121</v>
      </c>
      <c r="Y19" s="31">
        <v>315122.02673120121</v>
      </c>
      <c r="Z19" s="24">
        <v>0.58366739531617196</v>
      </c>
      <c r="AA19" s="24">
        <v>0.72499999999999998</v>
      </c>
      <c r="AB19" s="5">
        <v>309223.09999999998</v>
      </c>
      <c r="AC19" s="17">
        <v>44008</v>
      </c>
      <c r="AD19" s="25">
        <v>76875</v>
      </c>
      <c r="AE19" s="25">
        <v>238247.03</v>
      </c>
      <c r="AF19" s="26">
        <v>315122.03000000003</v>
      </c>
      <c r="AG19" s="23">
        <v>0</v>
      </c>
      <c r="AH19" s="23">
        <v>-5898.9300000000512</v>
      </c>
      <c r="AI19" s="27">
        <v>0.97899999999999998</v>
      </c>
      <c r="AJ19" s="23">
        <v>0</v>
      </c>
      <c r="AK19" s="23">
        <v>5898.9224984210059</v>
      </c>
      <c r="AL19" s="23">
        <v>-3.2687988132238388E-3</v>
      </c>
      <c r="AM19" s="2">
        <v>315122.03000000003</v>
      </c>
      <c r="AN19" s="2"/>
      <c r="AO19" s="28">
        <v>315122.03000000003</v>
      </c>
      <c r="AP19" s="18">
        <v>44392</v>
      </c>
      <c r="AQ19" s="18">
        <v>44398</v>
      </c>
      <c r="AR19" s="18">
        <v>44420</v>
      </c>
      <c r="AS19" s="11"/>
      <c r="AT19" s="2">
        <v>519047.61904761905</v>
      </c>
      <c r="AU19" s="2">
        <v>25952.380952380954</v>
      </c>
      <c r="AV19" s="2">
        <v>545000</v>
      </c>
      <c r="AW19" s="2"/>
      <c r="AX19" s="14">
        <v>50000</v>
      </c>
      <c r="AY19" s="29">
        <v>9.1743119266055051E-2</v>
      </c>
      <c r="AZ19" s="11" t="s">
        <v>219</v>
      </c>
      <c r="BA19" s="33">
        <v>1.0094461937395813</v>
      </c>
      <c r="BB19" s="19">
        <v>44305</v>
      </c>
      <c r="BC19" s="11"/>
    </row>
    <row r="20" spans="2:55" hidden="1" x14ac:dyDescent="0.3">
      <c r="B20" s="11" t="s">
        <v>220</v>
      </c>
      <c r="C20" s="12">
        <v>2110528</v>
      </c>
      <c r="D20" s="13">
        <v>2</v>
      </c>
      <c r="E20" s="13">
        <v>5</v>
      </c>
      <c r="F20" s="11" t="s">
        <v>176</v>
      </c>
      <c r="G20" s="11" t="s">
        <v>177</v>
      </c>
      <c r="H20" s="11" t="s">
        <v>195</v>
      </c>
      <c r="I20" s="11" t="s">
        <v>204</v>
      </c>
      <c r="J20" s="4">
        <v>0.5</v>
      </c>
      <c r="K20" s="4">
        <v>0.72499999999999998</v>
      </c>
      <c r="L20" s="4">
        <v>0.625</v>
      </c>
      <c r="M20" s="14">
        <v>232800</v>
      </c>
      <c r="N20" s="15">
        <v>240000</v>
      </c>
      <c r="O20" s="15">
        <v>232800</v>
      </c>
      <c r="P20" s="15">
        <v>705000</v>
      </c>
      <c r="Q20" s="3">
        <v>705000</v>
      </c>
      <c r="R20" s="36">
        <v>306.25543006081671</v>
      </c>
      <c r="S20" s="16">
        <v>4984</v>
      </c>
      <c r="T20" s="16">
        <v>2302</v>
      </c>
      <c r="U20" s="1">
        <v>366900</v>
      </c>
      <c r="V20" s="6">
        <v>159.38314509122503</v>
      </c>
      <c r="W20" s="23">
        <v>116400</v>
      </c>
      <c r="X20" s="23">
        <v>318382.5</v>
      </c>
      <c r="Y20" s="31">
        <v>434782.5</v>
      </c>
      <c r="Z20" s="24">
        <v>0.61671276595744684</v>
      </c>
      <c r="AA20" s="24">
        <v>0.72499999999999998</v>
      </c>
      <c r="AB20" s="5">
        <v>428545.2</v>
      </c>
      <c r="AC20" s="17">
        <v>44314</v>
      </c>
      <c r="AD20" s="1">
        <v>116400</v>
      </c>
      <c r="AE20" s="1">
        <v>318382.49999999994</v>
      </c>
      <c r="AF20" s="26">
        <v>434782.49999999994</v>
      </c>
      <c r="AG20" s="23">
        <v>0</v>
      </c>
      <c r="AH20" s="23">
        <v>-6237.2999999999302</v>
      </c>
      <c r="AI20" s="27">
        <v>0.98299999999999998</v>
      </c>
      <c r="AJ20" s="23">
        <v>0</v>
      </c>
      <c r="AK20" s="23">
        <v>6237.3000000000056</v>
      </c>
      <c r="AL20" s="23">
        <v>0</v>
      </c>
      <c r="AM20" s="2">
        <v>434782.5</v>
      </c>
      <c r="AN20" s="2"/>
      <c r="AO20" s="28">
        <v>434782.5</v>
      </c>
      <c r="AP20" s="18">
        <v>44418</v>
      </c>
      <c r="AQ20" s="18">
        <v>44424</v>
      </c>
      <c r="AR20" s="18">
        <v>44456</v>
      </c>
      <c r="AS20" s="11"/>
      <c r="AT20" s="2">
        <v>723809.52380952379</v>
      </c>
      <c r="AU20" s="2">
        <v>36190.476190476191</v>
      </c>
      <c r="AV20" s="2">
        <v>760000</v>
      </c>
      <c r="AW20" s="2"/>
      <c r="AX20" s="14"/>
      <c r="AY20" s="29"/>
      <c r="AZ20" s="11" t="s">
        <v>221</v>
      </c>
      <c r="BA20" s="33">
        <v>1.0780141843971631</v>
      </c>
      <c r="BB20" s="19">
        <v>44293</v>
      </c>
      <c r="BC20" s="11"/>
    </row>
    <row r="21" spans="2:55" hidden="1" x14ac:dyDescent="0.3">
      <c r="B21" s="11" t="s">
        <v>222</v>
      </c>
      <c r="C21" s="22" t="s">
        <v>181</v>
      </c>
      <c r="D21" s="13">
        <v>2</v>
      </c>
      <c r="E21" s="13">
        <v>24</v>
      </c>
      <c r="F21" s="11" t="s">
        <v>176</v>
      </c>
      <c r="G21" s="11" t="s">
        <v>177</v>
      </c>
      <c r="H21" s="11" t="s">
        <v>178</v>
      </c>
      <c r="I21" s="11" t="s">
        <v>198</v>
      </c>
      <c r="J21" s="4">
        <v>0.6</v>
      </c>
      <c r="K21" s="4">
        <v>0.77500000000000002</v>
      </c>
      <c r="L21" s="4">
        <v>0.67500000000000004</v>
      </c>
      <c r="M21" s="14">
        <v>190000</v>
      </c>
      <c r="N21" s="15">
        <v>135000</v>
      </c>
      <c r="O21" s="15">
        <v>135000</v>
      </c>
      <c r="P21" s="15">
        <v>465000</v>
      </c>
      <c r="Q21" s="3">
        <v>465000</v>
      </c>
      <c r="R21" s="5">
        <v>226.05736509479826</v>
      </c>
      <c r="S21" s="16">
        <v>4542.3657999999996</v>
      </c>
      <c r="T21" s="16">
        <v>2057</v>
      </c>
      <c r="U21" s="1">
        <v>236200</v>
      </c>
      <c r="V21" s="6">
        <v>114.82741857073408</v>
      </c>
      <c r="W21" s="23">
        <v>81000</v>
      </c>
      <c r="X21" s="23">
        <v>232875</v>
      </c>
      <c r="Y21" s="31">
        <v>313875</v>
      </c>
      <c r="Z21" s="24">
        <v>0.67500000000000004</v>
      </c>
      <c r="AA21" s="24">
        <v>0.7364500234631628</v>
      </c>
      <c r="AB21" s="5">
        <v>311985.40000000002</v>
      </c>
      <c r="AC21" s="17">
        <v>44281</v>
      </c>
      <c r="AD21" s="1">
        <v>67500</v>
      </c>
      <c r="AE21" s="1">
        <v>246374.99999999994</v>
      </c>
      <c r="AF21" s="26">
        <v>313874.99999999994</v>
      </c>
      <c r="AG21" s="23">
        <v>0</v>
      </c>
      <c r="AH21" s="23">
        <v>-1889.5999999999185</v>
      </c>
      <c r="AI21" s="27">
        <v>0.99199999999999999</v>
      </c>
      <c r="AJ21" s="23">
        <v>0</v>
      </c>
      <c r="AK21" s="23">
        <v>1889.6000000000017</v>
      </c>
      <c r="AL21" s="23">
        <v>0</v>
      </c>
      <c r="AM21" s="2">
        <v>313875</v>
      </c>
      <c r="AN21" s="2"/>
      <c r="AO21" s="28">
        <v>313875</v>
      </c>
      <c r="AP21" s="18">
        <v>44431</v>
      </c>
      <c r="AQ21" s="18">
        <v>44438</v>
      </c>
      <c r="AR21" s="18">
        <v>44462</v>
      </c>
      <c r="AS21" s="11"/>
      <c r="AT21" s="2">
        <v>466666.66666666663</v>
      </c>
      <c r="AU21" s="2">
        <v>23333.333333333332</v>
      </c>
      <c r="AV21" s="2">
        <v>490000</v>
      </c>
      <c r="AW21" s="2"/>
      <c r="AX21" s="14">
        <v>10000</v>
      </c>
      <c r="AY21" s="29">
        <v>2.0408163265306121E-2</v>
      </c>
      <c r="AZ21" s="11" t="s">
        <v>223</v>
      </c>
      <c r="BA21" s="33">
        <v>1.053763440860215</v>
      </c>
      <c r="BB21" s="19">
        <v>44285</v>
      </c>
      <c r="BC21" s="11" t="s">
        <v>224</v>
      </c>
    </row>
    <row r="22" spans="2:55" hidden="1" x14ac:dyDescent="0.3">
      <c r="B22" s="11" t="s">
        <v>225</v>
      </c>
      <c r="C22" s="22" t="s">
        <v>181</v>
      </c>
      <c r="D22" s="13">
        <v>2</v>
      </c>
      <c r="E22" s="13">
        <v>25</v>
      </c>
      <c r="F22" s="11" t="s">
        <v>176</v>
      </c>
      <c r="G22" s="11" t="s">
        <v>177</v>
      </c>
      <c r="H22" s="11" t="s">
        <v>178</v>
      </c>
      <c r="I22" s="11" t="s">
        <v>198</v>
      </c>
      <c r="J22" s="4">
        <v>0.6</v>
      </c>
      <c r="K22" s="4">
        <v>0.77500000000000002</v>
      </c>
      <c r="L22" s="4">
        <v>0.67500000000000004</v>
      </c>
      <c r="M22" s="14">
        <v>190000</v>
      </c>
      <c r="N22" s="15">
        <v>140000</v>
      </c>
      <c r="O22" s="15">
        <v>140000</v>
      </c>
      <c r="P22" s="15">
        <v>485000</v>
      </c>
      <c r="Q22" s="3">
        <v>479900.4</v>
      </c>
      <c r="R22" s="5">
        <v>221.56066481994461</v>
      </c>
      <c r="S22" s="16">
        <v>6286.1175999999996</v>
      </c>
      <c r="T22" s="16">
        <v>2166</v>
      </c>
      <c r="U22" s="1">
        <v>242500</v>
      </c>
      <c r="V22" s="6">
        <v>111.95752539242844</v>
      </c>
      <c r="W22" s="23">
        <v>84000</v>
      </c>
      <c r="X22" s="23">
        <v>239932.77000000002</v>
      </c>
      <c r="Y22" s="31">
        <v>323932.77</v>
      </c>
      <c r="Z22" s="24">
        <v>0.67500000000000004</v>
      </c>
      <c r="AA22" s="24">
        <v>0.74897750289017351</v>
      </c>
      <c r="AB22" s="5">
        <v>321750.27</v>
      </c>
      <c r="AC22" s="17">
        <v>44281</v>
      </c>
      <c r="AD22" s="1">
        <v>84000</v>
      </c>
      <c r="AE22" s="1">
        <v>239932.77</v>
      </c>
      <c r="AF22" s="26">
        <v>323932.77</v>
      </c>
      <c r="AG22" s="23">
        <v>0</v>
      </c>
      <c r="AH22" s="23">
        <v>-2182.5</v>
      </c>
      <c r="AI22" s="27">
        <v>0.99099999999999999</v>
      </c>
      <c r="AJ22" s="23">
        <v>0</v>
      </c>
      <c r="AK22" s="23">
        <v>2182.5000000000018</v>
      </c>
      <c r="AL22" s="23">
        <v>0</v>
      </c>
      <c r="AM22" s="2">
        <v>323932.77</v>
      </c>
      <c r="AN22" s="2"/>
      <c r="AO22" s="28">
        <v>323932.77</v>
      </c>
      <c r="AP22" s="18">
        <v>44431</v>
      </c>
      <c r="AQ22" s="18">
        <v>44435</v>
      </c>
      <c r="AR22" s="18">
        <v>44462</v>
      </c>
      <c r="AS22" s="11"/>
      <c r="AT22" s="2">
        <v>457048</v>
      </c>
      <c r="AU22" s="2">
        <v>22852.400000000001</v>
      </c>
      <c r="AV22" s="2">
        <v>479900.4</v>
      </c>
      <c r="AW22" s="2"/>
      <c r="AX22" s="14">
        <v>25750</v>
      </c>
      <c r="AY22" s="29">
        <v>5.3656967154017791E-2</v>
      </c>
      <c r="AZ22" s="11" t="s">
        <v>226</v>
      </c>
      <c r="BA22" s="33">
        <v>0.98948536082474237</v>
      </c>
      <c r="BB22" s="19">
        <v>44048</v>
      </c>
      <c r="BC22" s="36"/>
    </row>
    <row r="23" spans="2:55" hidden="1" x14ac:dyDescent="0.3">
      <c r="B23" s="11" t="s">
        <v>227</v>
      </c>
      <c r="C23" s="22" t="s">
        <v>181</v>
      </c>
      <c r="D23" s="13">
        <v>2</v>
      </c>
      <c r="E23" s="13">
        <v>3</v>
      </c>
      <c r="F23" s="11" t="s">
        <v>176</v>
      </c>
      <c r="G23" s="11" t="s">
        <v>177</v>
      </c>
      <c r="H23" s="11" t="s">
        <v>178</v>
      </c>
      <c r="I23" s="11" t="s">
        <v>198</v>
      </c>
      <c r="J23" s="4">
        <v>0.6</v>
      </c>
      <c r="K23" s="4">
        <v>0.77500000000000002</v>
      </c>
      <c r="L23" s="4">
        <v>0.67500000000000004</v>
      </c>
      <c r="M23" s="14">
        <v>205234</v>
      </c>
      <c r="N23" s="15">
        <v>192000</v>
      </c>
      <c r="O23" s="15">
        <v>192000</v>
      </c>
      <c r="P23" s="15">
        <v>577000</v>
      </c>
      <c r="Q23" s="3">
        <v>577000</v>
      </c>
      <c r="R23" s="5">
        <v>288.93340010015021</v>
      </c>
      <c r="S23" s="16">
        <v>4898</v>
      </c>
      <c r="T23" s="16">
        <v>1997</v>
      </c>
      <c r="U23" s="1">
        <v>282100</v>
      </c>
      <c r="V23" s="6">
        <v>141.26189283925888</v>
      </c>
      <c r="W23" s="23">
        <v>115200</v>
      </c>
      <c r="X23" s="23">
        <v>262483.85000000003</v>
      </c>
      <c r="Y23" s="31">
        <v>377683.85000000003</v>
      </c>
      <c r="Z23" s="24">
        <v>0.65456473136915083</v>
      </c>
      <c r="AA23" s="24">
        <v>0.77500000000000002</v>
      </c>
      <c r="AB23" s="5">
        <v>376273.35</v>
      </c>
      <c r="AC23" s="17">
        <v>44281</v>
      </c>
      <c r="AD23" s="1">
        <v>115200</v>
      </c>
      <c r="AE23" s="1">
        <v>262483.85000000003</v>
      </c>
      <c r="AF23" s="26">
        <v>377683.85000000003</v>
      </c>
      <c r="AG23" s="23">
        <v>0</v>
      </c>
      <c r="AH23" s="23">
        <v>-1410.5000000000582</v>
      </c>
      <c r="AI23" s="27">
        <v>0.995</v>
      </c>
      <c r="AJ23" s="23">
        <v>0</v>
      </c>
      <c r="AK23" s="23">
        <v>1410.5000000000014</v>
      </c>
      <c r="AL23" s="23">
        <v>0</v>
      </c>
      <c r="AM23" s="2">
        <v>377683.85</v>
      </c>
      <c r="AN23" s="2"/>
      <c r="AO23" s="28">
        <v>377683.85</v>
      </c>
      <c r="AP23" s="18">
        <v>44447</v>
      </c>
      <c r="AQ23" s="18">
        <v>44452</v>
      </c>
      <c r="AR23" s="18">
        <v>44477</v>
      </c>
      <c r="AS23" s="11"/>
      <c r="AT23" s="2">
        <v>549523.80000000005</v>
      </c>
      <c r="AU23" s="2">
        <v>27476.2</v>
      </c>
      <c r="AV23" s="2">
        <v>577000</v>
      </c>
      <c r="AW23" s="2"/>
      <c r="AX23" s="14">
        <v>40000</v>
      </c>
      <c r="AY23" s="29">
        <v>6.9324090121317156E-2</v>
      </c>
      <c r="AZ23" s="11" t="s">
        <v>228</v>
      </c>
      <c r="BA23" s="33">
        <v>1</v>
      </c>
      <c r="BB23" s="19">
        <v>44164</v>
      </c>
      <c r="BC23" s="11"/>
    </row>
    <row r="24" spans="2:55" hidden="1" x14ac:dyDescent="0.3">
      <c r="B24" s="11" t="s">
        <v>229</v>
      </c>
      <c r="C24" s="12">
        <v>2110528</v>
      </c>
      <c r="D24" s="13">
        <v>2</v>
      </c>
      <c r="E24" s="13">
        <v>4</v>
      </c>
      <c r="F24" s="11" t="s">
        <v>176</v>
      </c>
      <c r="G24" s="11" t="s">
        <v>177</v>
      </c>
      <c r="H24" s="11" t="s">
        <v>178</v>
      </c>
      <c r="I24" s="11" t="s">
        <v>198</v>
      </c>
      <c r="J24" s="4">
        <v>0.6</v>
      </c>
      <c r="K24" s="4">
        <v>0.77500000000000002</v>
      </c>
      <c r="L24" s="4">
        <v>0.67500000000000004</v>
      </c>
      <c r="M24" s="14">
        <v>232800</v>
      </c>
      <c r="N24" s="15">
        <v>240000</v>
      </c>
      <c r="O24" s="15">
        <v>232800</v>
      </c>
      <c r="P24" s="15">
        <v>890000</v>
      </c>
      <c r="Q24" s="3">
        <v>890000</v>
      </c>
      <c r="R24" s="5">
        <v>286.35778635778638</v>
      </c>
      <c r="S24" s="16">
        <v>5414</v>
      </c>
      <c r="T24" s="16">
        <v>3108</v>
      </c>
      <c r="U24" s="1">
        <v>521400</v>
      </c>
      <c r="V24" s="6">
        <v>167.76061776061775</v>
      </c>
      <c r="W24" s="23">
        <v>139680</v>
      </c>
      <c r="X24" s="37">
        <v>400320</v>
      </c>
      <c r="Y24" s="31">
        <v>540000</v>
      </c>
      <c r="Z24" s="24">
        <v>0.6067415730337079</v>
      </c>
      <c r="AA24" s="24">
        <v>0.71599045346062051</v>
      </c>
      <c r="AB24" s="5">
        <v>515494.2</v>
      </c>
      <c r="AC24" s="17">
        <v>44314</v>
      </c>
      <c r="AD24" s="1">
        <v>139680</v>
      </c>
      <c r="AE24" s="1">
        <v>375814.19999999995</v>
      </c>
      <c r="AF24" s="26">
        <v>515494.19999999995</v>
      </c>
      <c r="AG24" s="23">
        <v>0</v>
      </c>
      <c r="AH24" s="23">
        <v>0</v>
      </c>
      <c r="AI24" s="27">
        <v>0.95299999999999996</v>
      </c>
      <c r="AJ24" s="23">
        <v>0</v>
      </c>
      <c r="AK24" s="23">
        <v>24505.800000000021</v>
      </c>
      <c r="AL24" s="23">
        <v>24505.800000000047</v>
      </c>
      <c r="AM24" s="2">
        <v>515494.2</v>
      </c>
      <c r="AN24" s="2"/>
      <c r="AO24" s="28">
        <v>515494.2</v>
      </c>
      <c r="AP24" s="18">
        <v>44469</v>
      </c>
      <c r="AQ24" s="18">
        <v>44473</v>
      </c>
      <c r="AR24" s="18">
        <v>44491</v>
      </c>
      <c r="AS24" s="11"/>
      <c r="AT24" s="2">
        <v>850476.19047619042</v>
      </c>
      <c r="AU24" s="2">
        <v>42523.809523809585</v>
      </c>
      <c r="AV24" s="2">
        <v>893000</v>
      </c>
      <c r="AW24" s="2"/>
      <c r="AX24" s="14">
        <v>177000</v>
      </c>
      <c r="AY24" s="29">
        <v>0.19820828667413215</v>
      </c>
      <c r="AZ24" s="11" t="s">
        <v>230</v>
      </c>
      <c r="BA24" s="33">
        <v>1.003370786516854</v>
      </c>
      <c r="BB24" s="19">
        <v>44063</v>
      </c>
      <c r="BC24" s="11"/>
    </row>
    <row r="25" spans="2:55" hidden="1" x14ac:dyDescent="0.3">
      <c r="B25" s="11" t="s">
        <v>231</v>
      </c>
      <c r="C25" s="12">
        <v>2110528</v>
      </c>
      <c r="D25" s="13">
        <v>6</v>
      </c>
      <c r="E25" s="13">
        <v>19</v>
      </c>
      <c r="F25" s="11" t="s">
        <v>176</v>
      </c>
      <c r="G25" s="11" t="s">
        <v>177</v>
      </c>
      <c r="H25" s="11" t="s">
        <v>178</v>
      </c>
      <c r="I25" s="11" t="s">
        <v>198</v>
      </c>
      <c r="J25" s="4">
        <v>0.6</v>
      </c>
      <c r="K25" s="4">
        <v>0.77500000000000002</v>
      </c>
      <c r="L25" s="4">
        <v>0.67500000000000004</v>
      </c>
      <c r="M25" s="14">
        <v>191250</v>
      </c>
      <c r="N25" s="15">
        <v>185000</v>
      </c>
      <c r="O25" s="15">
        <v>185000</v>
      </c>
      <c r="P25" s="15">
        <v>550000</v>
      </c>
      <c r="Q25" s="3">
        <v>550000</v>
      </c>
      <c r="R25" s="5">
        <v>258.70178739416747</v>
      </c>
      <c r="S25" s="16">
        <v>5185</v>
      </c>
      <c r="T25" s="16">
        <v>2126</v>
      </c>
      <c r="U25" s="1">
        <v>355400</v>
      </c>
      <c r="V25" s="6">
        <v>167.16839134524929</v>
      </c>
      <c r="W25" s="23">
        <v>111000</v>
      </c>
      <c r="X25" s="23">
        <v>260250</v>
      </c>
      <c r="Y25" s="31">
        <v>371250</v>
      </c>
      <c r="Z25" s="24">
        <v>0.67500000000000004</v>
      </c>
      <c r="AA25" s="24">
        <v>0.67913655904143422</v>
      </c>
      <c r="AB25" s="5">
        <v>329668.2</v>
      </c>
      <c r="AC25" s="17">
        <v>44314</v>
      </c>
      <c r="AD25" s="1">
        <v>111000</v>
      </c>
      <c r="AE25" s="1">
        <v>218668.2</v>
      </c>
      <c r="AF25" s="26">
        <v>329668.2</v>
      </c>
      <c r="AG25" s="23">
        <v>0</v>
      </c>
      <c r="AH25" s="23">
        <v>0</v>
      </c>
      <c r="AI25" s="27">
        <v>0.88300000000000001</v>
      </c>
      <c r="AJ25" s="23">
        <v>0</v>
      </c>
      <c r="AK25" s="23">
        <v>41581.799999999996</v>
      </c>
      <c r="AL25" s="23">
        <v>41581.799999999988</v>
      </c>
      <c r="AM25" s="2">
        <v>329668.2</v>
      </c>
      <c r="AN25" s="2"/>
      <c r="AO25" s="28">
        <v>329668.2</v>
      </c>
      <c r="AP25" s="18">
        <v>44477</v>
      </c>
      <c r="AQ25" s="18">
        <v>44484</v>
      </c>
      <c r="AR25" s="18">
        <v>44519</v>
      </c>
      <c r="AS25" s="11"/>
      <c r="AT25" s="2">
        <v>571955.43809523806</v>
      </c>
      <c r="AU25" s="2">
        <v>28597.771904761903</v>
      </c>
      <c r="AV25" s="2">
        <v>600553.21</v>
      </c>
      <c r="AW25" s="2"/>
      <c r="AX25" s="14">
        <v>33500</v>
      </c>
      <c r="AY25" s="29">
        <v>5.5781901490460771E-2</v>
      </c>
      <c r="AZ25" s="11" t="s">
        <v>232</v>
      </c>
      <c r="BA25" s="33">
        <v>1.0919149272727271</v>
      </c>
      <c r="BB25" s="19">
        <v>44023</v>
      </c>
      <c r="BC25" s="11" t="s">
        <v>233</v>
      </c>
    </row>
    <row r="26" spans="2:55" hidden="1" x14ac:dyDescent="0.3">
      <c r="B26" s="11" t="s">
        <v>234</v>
      </c>
      <c r="C26" s="12">
        <v>2110528</v>
      </c>
      <c r="D26" s="13">
        <v>2</v>
      </c>
      <c r="E26" s="13">
        <v>18</v>
      </c>
      <c r="F26" s="11" t="s">
        <v>176</v>
      </c>
      <c r="G26" s="11" t="s">
        <v>177</v>
      </c>
      <c r="H26" s="11" t="s">
        <v>178</v>
      </c>
      <c r="I26" s="11" t="s">
        <v>198</v>
      </c>
      <c r="J26" s="4">
        <v>0.6</v>
      </c>
      <c r="K26" s="4">
        <v>0.77500000000000002</v>
      </c>
      <c r="L26" s="4">
        <v>0.67500000000000004</v>
      </c>
      <c r="M26" s="14">
        <v>218250</v>
      </c>
      <c r="N26" s="15">
        <v>200000</v>
      </c>
      <c r="O26" s="15">
        <v>200000</v>
      </c>
      <c r="P26" s="15">
        <v>820000</v>
      </c>
      <c r="Q26" s="3">
        <v>820000</v>
      </c>
      <c r="R26" s="5">
        <v>304.4931303379131</v>
      </c>
      <c r="S26" s="16">
        <v>4886.8105999999998</v>
      </c>
      <c r="T26" s="16">
        <v>2693</v>
      </c>
      <c r="U26" s="1">
        <v>467400</v>
      </c>
      <c r="V26" s="6">
        <v>173.56108429261047</v>
      </c>
      <c r="W26" s="23">
        <v>120000</v>
      </c>
      <c r="X26" s="23">
        <v>411378.75</v>
      </c>
      <c r="Y26" s="31">
        <v>531378.75</v>
      </c>
      <c r="Z26" s="24">
        <v>0.64802286585365854</v>
      </c>
      <c r="AA26" s="24">
        <v>0.77500000000000002</v>
      </c>
      <c r="AB26" s="5">
        <v>489312.75</v>
      </c>
      <c r="AC26" s="17">
        <v>44421</v>
      </c>
      <c r="AD26" s="1">
        <v>120000</v>
      </c>
      <c r="AE26" s="1">
        <v>369312.75</v>
      </c>
      <c r="AF26" s="26">
        <v>489312.75</v>
      </c>
      <c r="AG26" s="23">
        <v>0</v>
      </c>
      <c r="AH26" s="23">
        <v>0</v>
      </c>
      <c r="AI26" s="27">
        <v>0.91</v>
      </c>
      <c r="AJ26" s="23">
        <v>0</v>
      </c>
      <c r="AK26" s="23">
        <v>42065.999999999985</v>
      </c>
      <c r="AL26" s="23">
        <v>42066</v>
      </c>
      <c r="AM26" s="2">
        <v>489312.75</v>
      </c>
      <c r="AN26" s="2"/>
      <c r="AO26" s="28">
        <v>489312.75</v>
      </c>
      <c r="AP26" s="18">
        <v>44511</v>
      </c>
      <c r="AQ26" s="18">
        <v>44523</v>
      </c>
      <c r="AR26" s="18">
        <v>44553</v>
      </c>
      <c r="AS26" s="11"/>
      <c r="AT26" s="2">
        <v>780952.38095238095</v>
      </c>
      <c r="AU26" s="2">
        <v>39047.619047619046</v>
      </c>
      <c r="AV26" s="2">
        <v>820000</v>
      </c>
      <c r="AW26" s="2"/>
      <c r="AX26" s="14">
        <v>82000</v>
      </c>
      <c r="AY26" s="29">
        <v>0.1</v>
      </c>
      <c r="AZ26" s="11" t="s">
        <v>235</v>
      </c>
      <c r="BA26" s="33">
        <v>1</v>
      </c>
      <c r="BB26" s="19">
        <v>44209</v>
      </c>
      <c r="BC26" s="11"/>
    </row>
    <row r="27" spans="2:55" hidden="1" x14ac:dyDescent="0.3">
      <c r="B27" s="11" t="s">
        <v>236</v>
      </c>
      <c r="C27" s="12" t="s">
        <v>181</v>
      </c>
      <c r="D27" s="13">
        <v>1</v>
      </c>
      <c r="E27" s="13">
        <v>1</v>
      </c>
      <c r="F27" s="11" t="s">
        <v>176</v>
      </c>
      <c r="G27" s="11" t="s">
        <v>177</v>
      </c>
      <c r="H27" s="11" t="s">
        <v>178</v>
      </c>
      <c r="I27" s="11" t="s">
        <v>198</v>
      </c>
      <c r="J27" s="4">
        <v>0.6</v>
      </c>
      <c r="K27" s="4">
        <v>0.77500000000000002</v>
      </c>
      <c r="L27" s="4">
        <v>0.67500000000000004</v>
      </c>
      <c r="M27" s="14">
        <v>204077</v>
      </c>
      <c r="N27" s="15">
        <v>200000</v>
      </c>
      <c r="O27" s="15">
        <v>200000</v>
      </c>
      <c r="P27" s="15">
        <v>715000</v>
      </c>
      <c r="Q27" s="3">
        <v>713102.25</v>
      </c>
      <c r="R27" s="5">
        <v>271.65800000000002</v>
      </c>
      <c r="S27" s="16">
        <v>5259</v>
      </c>
      <c r="T27" s="16">
        <v>2625</v>
      </c>
      <c r="U27" s="1">
        <v>380400</v>
      </c>
      <c r="V27" s="6">
        <v>144.91428571428571</v>
      </c>
      <c r="W27" s="23">
        <v>120000</v>
      </c>
      <c r="X27" s="23">
        <v>332969.67499999999</v>
      </c>
      <c r="Y27" s="31">
        <v>452969.67499999999</v>
      </c>
      <c r="Z27" s="24">
        <v>0.6352099926763658</v>
      </c>
      <c r="AA27" s="24">
        <v>0.77500000000000002</v>
      </c>
      <c r="AB27" s="5">
        <v>389062.48</v>
      </c>
      <c r="AC27" s="17">
        <v>44314</v>
      </c>
      <c r="AD27" s="1">
        <v>120000</v>
      </c>
      <c r="AE27" s="1">
        <v>269062.48</v>
      </c>
      <c r="AF27" s="26">
        <v>389062.48</v>
      </c>
      <c r="AG27" s="23">
        <v>0</v>
      </c>
      <c r="AH27" s="23">
        <v>0</v>
      </c>
      <c r="AI27" s="27">
        <v>0.83199999999999996</v>
      </c>
      <c r="AJ27" s="23">
        <v>0</v>
      </c>
      <c r="AK27" s="23">
        <v>63907.200000000012</v>
      </c>
      <c r="AL27" s="23">
        <v>63907.195000000007</v>
      </c>
      <c r="AM27" s="2">
        <v>389062.48</v>
      </c>
      <c r="AN27" s="2"/>
      <c r="AO27" s="28">
        <v>389062.48</v>
      </c>
      <c r="AP27" s="18">
        <v>44529</v>
      </c>
      <c r="AQ27" s="18">
        <v>44547</v>
      </c>
      <c r="AR27" s="18">
        <v>44210</v>
      </c>
      <c r="AS27" s="11"/>
      <c r="AT27" s="2">
        <v>679145</v>
      </c>
      <c r="AU27" s="2">
        <v>33957.25</v>
      </c>
      <c r="AV27" s="2">
        <v>713102.25</v>
      </c>
      <c r="AW27" s="2"/>
      <c r="AX27" s="14">
        <v>67000</v>
      </c>
      <c r="AY27" s="29">
        <v>9.3955670452589374E-2</v>
      </c>
      <c r="AZ27" s="11" t="s">
        <v>237</v>
      </c>
      <c r="BA27" s="33">
        <v>0.99734580419580421</v>
      </c>
      <c r="BB27" s="19">
        <v>44140</v>
      </c>
      <c r="BC27" s="11"/>
    </row>
    <row r="28" spans="2:55" x14ac:dyDescent="0.3">
      <c r="B28" s="11" t="s">
        <v>238</v>
      </c>
      <c r="C28" s="12">
        <v>2011558</v>
      </c>
      <c r="D28" s="13">
        <v>2</v>
      </c>
      <c r="E28" s="13">
        <v>2</v>
      </c>
      <c r="F28" s="11" t="s">
        <v>239</v>
      </c>
      <c r="G28" s="11" t="s">
        <v>177</v>
      </c>
      <c r="H28" s="11" t="s">
        <v>195</v>
      </c>
      <c r="I28" s="11" t="s">
        <v>204</v>
      </c>
      <c r="J28" s="4">
        <v>0.5</v>
      </c>
      <c r="K28" s="4">
        <v>0.7</v>
      </c>
      <c r="L28" s="4">
        <v>0.6</v>
      </c>
      <c r="M28" s="14">
        <v>170000</v>
      </c>
      <c r="N28" s="15">
        <v>165000</v>
      </c>
      <c r="O28" s="15">
        <v>165000</v>
      </c>
      <c r="P28" s="15">
        <v>675000</v>
      </c>
      <c r="Q28" s="3">
        <v>675000</v>
      </c>
      <c r="R28" s="5">
        <v>373.13432835820896</v>
      </c>
      <c r="S28" s="16">
        <v>8385</v>
      </c>
      <c r="T28" s="16">
        <v>1809</v>
      </c>
      <c r="U28" s="1">
        <v>433100</v>
      </c>
      <c r="V28" s="6">
        <v>239.41404090657821</v>
      </c>
      <c r="W28" s="23">
        <v>82500</v>
      </c>
      <c r="X28" s="23">
        <v>277500</v>
      </c>
      <c r="Y28" s="31">
        <v>360000</v>
      </c>
      <c r="Z28" s="24">
        <v>0.53333333333333333</v>
      </c>
      <c r="AA28" s="24">
        <v>0.59691593433924717</v>
      </c>
      <c r="AB28" s="5">
        <v>337045.7</v>
      </c>
      <c r="AC28" s="17">
        <v>44154</v>
      </c>
      <c r="AD28" s="1">
        <v>82500</v>
      </c>
      <c r="AE28" s="1">
        <v>239545.7</v>
      </c>
      <c r="AF28" s="26">
        <v>322045.7</v>
      </c>
      <c r="AG28" s="23">
        <v>0</v>
      </c>
      <c r="AH28" s="23">
        <v>15000</v>
      </c>
      <c r="AI28" s="27">
        <v>0.94699999999999995</v>
      </c>
      <c r="AJ28" s="23">
        <v>0</v>
      </c>
      <c r="AK28" s="23">
        <v>22954.300000000021</v>
      </c>
      <c r="AL28" s="23">
        <v>37954.299999999988</v>
      </c>
      <c r="AM28" s="2">
        <v>322045.7</v>
      </c>
      <c r="AN28" s="2"/>
      <c r="AO28" s="28">
        <v>0</v>
      </c>
      <c r="AP28" s="18">
        <v>44545</v>
      </c>
      <c r="AQ28" s="18">
        <v>44550</v>
      </c>
      <c r="AR28" s="18">
        <v>44210</v>
      </c>
      <c r="AS28" s="11"/>
      <c r="AT28" s="2">
        <v>785677.38095238095</v>
      </c>
      <c r="AU28" s="2">
        <v>39283.869047619046</v>
      </c>
      <c r="AV28" s="2">
        <v>824961.25</v>
      </c>
      <c r="AW28" s="2"/>
      <c r="AX28" s="14">
        <v>82496.25</v>
      </c>
      <c r="AY28" s="29">
        <v>0.10000015152226847</v>
      </c>
      <c r="AZ28" s="11" t="s">
        <v>240</v>
      </c>
      <c r="BA28" s="33">
        <v>1.2221648148148148</v>
      </c>
      <c r="BB28" s="19">
        <v>44524</v>
      </c>
      <c r="BC28" s="11"/>
    </row>
    <row r="29" spans="2:55" hidden="1" x14ac:dyDescent="0.3">
      <c r="B29" s="11" t="s">
        <v>241</v>
      </c>
      <c r="C29" s="12">
        <v>2110528</v>
      </c>
      <c r="D29" s="13">
        <v>2</v>
      </c>
      <c r="E29" s="13">
        <v>22</v>
      </c>
      <c r="F29" s="11" t="s">
        <v>176</v>
      </c>
      <c r="G29" s="11" t="s">
        <v>177</v>
      </c>
      <c r="H29" s="11" t="s">
        <v>178</v>
      </c>
      <c r="I29" s="11" t="s">
        <v>198</v>
      </c>
      <c r="J29" s="4">
        <v>0.6</v>
      </c>
      <c r="K29" s="4">
        <v>0.77500000000000002</v>
      </c>
      <c r="L29" s="4">
        <v>0.67500000000000004</v>
      </c>
      <c r="M29" s="14">
        <v>223100</v>
      </c>
      <c r="N29" s="15">
        <v>200000</v>
      </c>
      <c r="O29" s="15">
        <v>200000</v>
      </c>
      <c r="P29" s="15">
        <v>765000</v>
      </c>
      <c r="Q29" s="3">
        <v>765000</v>
      </c>
      <c r="R29" s="5">
        <v>274.7844827586207</v>
      </c>
      <c r="S29" s="16">
        <v>4980.0259740000001</v>
      </c>
      <c r="T29" s="16">
        <v>2784</v>
      </c>
      <c r="U29" s="1">
        <v>442900</v>
      </c>
      <c r="V29" s="6">
        <v>159.08764367816093</v>
      </c>
      <c r="W29" s="23">
        <v>120000</v>
      </c>
      <c r="X29" s="23">
        <v>396150</v>
      </c>
      <c r="Y29" s="31">
        <v>516150</v>
      </c>
      <c r="Z29" s="24">
        <v>0.67470588235294116</v>
      </c>
      <c r="AA29" s="24">
        <v>0.77500000000000002</v>
      </c>
      <c r="AB29" s="5">
        <v>494005</v>
      </c>
      <c r="AC29" s="17">
        <v>44421</v>
      </c>
      <c r="AD29" s="1">
        <v>120000</v>
      </c>
      <c r="AE29" s="1">
        <v>396150</v>
      </c>
      <c r="AF29" s="26">
        <v>516150</v>
      </c>
      <c r="AG29" s="23">
        <v>0</v>
      </c>
      <c r="AH29" s="23">
        <v>-22145</v>
      </c>
      <c r="AI29" s="27">
        <v>0.95</v>
      </c>
      <c r="AJ29" s="23">
        <v>0</v>
      </c>
      <c r="AK29" s="23">
        <v>22145.000000000018</v>
      </c>
      <c r="AL29" s="23">
        <v>0</v>
      </c>
      <c r="AM29" s="2">
        <v>516150</v>
      </c>
      <c r="AN29" s="2"/>
      <c r="AO29" s="28">
        <v>516150</v>
      </c>
      <c r="AP29" s="18">
        <v>44587</v>
      </c>
      <c r="AQ29" s="18">
        <v>44606</v>
      </c>
      <c r="AR29" s="18">
        <v>44631</v>
      </c>
      <c r="AS29" s="11"/>
      <c r="AT29" s="2">
        <v>728571.42857142852</v>
      </c>
      <c r="AU29" s="2">
        <v>36428.571428571428</v>
      </c>
      <c r="AV29" s="2">
        <v>765000</v>
      </c>
      <c r="AW29" s="2"/>
      <c r="AX29" s="14">
        <v>88000</v>
      </c>
      <c r="AY29" s="29">
        <v>0.11503267973856209</v>
      </c>
      <c r="AZ29" s="11" t="s">
        <v>242</v>
      </c>
      <c r="BA29" s="33">
        <v>1</v>
      </c>
      <c r="BB29" s="19">
        <v>43869</v>
      </c>
      <c r="BC29" s="11"/>
    </row>
    <row r="30" spans="2:55" x14ac:dyDescent="0.3">
      <c r="B30" s="11" t="s">
        <v>243</v>
      </c>
      <c r="C30" s="12" t="s">
        <v>244</v>
      </c>
      <c r="D30" s="13">
        <v>1</v>
      </c>
      <c r="E30" s="13">
        <v>43</v>
      </c>
      <c r="F30" s="11" t="s">
        <v>239</v>
      </c>
      <c r="G30" s="11" t="s">
        <v>177</v>
      </c>
      <c r="H30" s="11" t="s">
        <v>178</v>
      </c>
      <c r="I30" s="11" t="s">
        <v>198</v>
      </c>
      <c r="J30" s="4">
        <v>0.5</v>
      </c>
      <c r="K30" s="4">
        <v>0.75</v>
      </c>
      <c r="L30" s="4">
        <v>0.65</v>
      </c>
      <c r="M30" s="14">
        <v>184000</v>
      </c>
      <c r="N30" s="15">
        <v>185000</v>
      </c>
      <c r="O30" s="15">
        <v>184000</v>
      </c>
      <c r="P30" s="15">
        <v>660000</v>
      </c>
      <c r="Q30" s="3">
        <v>657000</v>
      </c>
      <c r="R30" s="5">
        <v>310.78524124881739</v>
      </c>
      <c r="S30" s="16">
        <v>8955</v>
      </c>
      <c r="T30" s="16">
        <v>2114</v>
      </c>
      <c r="U30" s="1">
        <v>405900</v>
      </c>
      <c r="V30" s="6">
        <v>192.00567644276254</v>
      </c>
      <c r="W30" s="23">
        <v>92000</v>
      </c>
      <c r="X30" s="23">
        <v>335050</v>
      </c>
      <c r="Y30" s="31">
        <v>427050</v>
      </c>
      <c r="Z30" s="24">
        <v>0.65</v>
      </c>
      <c r="AA30" s="24">
        <v>0.72393626038311576</v>
      </c>
      <c r="AB30" s="5">
        <v>220852.8</v>
      </c>
      <c r="AC30" s="17">
        <v>44470</v>
      </c>
      <c r="AD30" s="1">
        <v>92000</v>
      </c>
      <c r="AE30" s="1">
        <v>128852.80000000002</v>
      </c>
      <c r="AF30" s="26">
        <v>220852.80000000002</v>
      </c>
      <c r="AG30" s="23">
        <v>0</v>
      </c>
      <c r="AH30" s="23">
        <v>0</v>
      </c>
      <c r="AI30" s="27">
        <v>0.49199999999999999</v>
      </c>
      <c r="AJ30" s="23">
        <v>0</v>
      </c>
      <c r="AK30" s="23">
        <v>206197.2</v>
      </c>
      <c r="AL30" s="23">
        <v>206197.19999999998</v>
      </c>
      <c r="AM30" s="2">
        <v>220852.8</v>
      </c>
      <c r="AN30" s="2"/>
      <c r="AO30" s="28">
        <v>220852.8</v>
      </c>
      <c r="AP30" s="18">
        <v>44602</v>
      </c>
      <c r="AQ30" s="18">
        <v>44614</v>
      </c>
      <c r="AR30" s="18">
        <v>44638</v>
      </c>
      <c r="AS30" s="11"/>
      <c r="AT30" s="2">
        <v>625714.28571428568</v>
      </c>
      <c r="AU30" s="2">
        <v>31285.714285714319</v>
      </c>
      <c r="AV30" s="2">
        <v>657000</v>
      </c>
      <c r="AW30" s="2">
        <v>6938.62</v>
      </c>
      <c r="AX30" s="14">
        <v>37500</v>
      </c>
      <c r="AY30" s="29">
        <v>5.7077625570776253E-2</v>
      </c>
      <c r="AZ30" s="11" t="s">
        <v>245</v>
      </c>
      <c r="BA30" s="33">
        <v>0.99545454545454548</v>
      </c>
      <c r="BB30" s="19">
        <v>44229</v>
      </c>
      <c r="BC30" s="11" t="s">
        <v>233</v>
      </c>
    </row>
    <row r="31" spans="2:55" hidden="1" x14ac:dyDescent="0.3">
      <c r="B31" s="11" t="s">
        <v>246</v>
      </c>
      <c r="C31" s="12">
        <v>2110528</v>
      </c>
      <c r="D31" s="13">
        <v>2</v>
      </c>
      <c r="E31" s="13">
        <v>24</v>
      </c>
      <c r="F31" s="11" t="s">
        <v>176</v>
      </c>
      <c r="G31" s="11" t="s">
        <v>177</v>
      </c>
      <c r="H31" s="11" t="s">
        <v>178</v>
      </c>
      <c r="I31" s="11" t="s">
        <v>198</v>
      </c>
      <c r="J31" s="4">
        <v>0.6</v>
      </c>
      <c r="K31" s="4">
        <v>0.77500000000000002</v>
      </c>
      <c r="L31" s="4">
        <v>0.67500000000000004</v>
      </c>
      <c r="M31" s="14">
        <v>223100</v>
      </c>
      <c r="N31" s="15">
        <v>200000</v>
      </c>
      <c r="O31" s="15">
        <v>200000</v>
      </c>
      <c r="P31" s="15">
        <v>770000</v>
      </c>
      <c r="Q31" s="3">
        <v>765000</v>
      </c>
      <c r="R31" s="5">
        <v>271.85501066098084</v>
      </c>
      <c r="S31" s="16">
        <v>4980.0259740000001</v>
      </c>
      <c r="T31" s="16">
        <v>2814</v>
      </c>
      <c r="U31" s="1">
        <v>449900</v>
      </c>
      <c r="V31" s="6">
        <v>159.87917555081734</v>
      </c>
      <c r="W31" s="23">
        <v>120000</v>
      </c>
      <c r="X31" s="23">
        <v>396375.00000000006</v>
      </c>
      <c r="Y31" s="31">
        <v>516375.00000000006</v>
      </c>
      <c r="Z31" s="24">
        <v>0.67500000000000004</v>
      </c>
      <c r="AA31" s="24">
        <v>0.76727340267459143</v>
      </c>
      <c r="AB31" s="5">
        <v>426395</v>
      </c>
      <c r="AC31" s="17">
        <v>44421</v>
      </c>
      <c r="AD31" s="1">
        <v>120000</v>
      </c>
      <c r="AE31" s="1">
        <v>306395</v>
      </c>
      <c r="AF31" s="26">
        <v>426395</v>
      </c>
      <c r="AG31" s="23">
        <v>0</v>
      </c>
      <c r="AH31" s="23">
        <v>0</v>
      </c>
      <c r="AI31" s="27">
        <v>0.8</v>
      </c>
      <c r="AJ31" s="23">
        <v>0</v>
      </c>
      <c r="AK31" s="23">
        <v>89979.999999999985</v>
      </c>
      <c r="AL31" s="23">
        <v>89980.000000000058</v>
      </c>
      <c r="AM31" s="2">
        <v>426395</v>
      </c>
      <c r="AN31" s="2"/>
      <c r="AO31" s="28">
        <v>426395</v>
      </c>
      <c r="AP31" s="18">
        <v>44599</v>
      </c>
      <c r="AQ31" s="18">
        <v>44614</v>
      </c>
      <c r="AR31" s="18">
        <v>44638</v>
      </c>
      <c r="AS31" s="11"/>
      <c r="AT31" s="2">
        <v>728571.42857142852</v>
      </c>
      <c r="AU31" s="2">
        <v>36428.571428571428</v>
      </c>
      <c r="AV31" s="2">
        <v>765000</v>
      </c>
      <c r="AW31" s="2"/>
      <c r="AX31" s="14">
        <v>88000</v>
      </c>
      <c r="AY31" s="29">
        <v>0.11503267973856209</v>
      </c>
      <c r="AZ31" s="11" t="s">
        <v>247</v>
      </c>
      <c r="BA31" s="33">
        <v>0.99350649350649356</v>
      </c>
      <c r="BB31" s="19">
        <v>43869</v>
      </c>
      <c r="BC31" s="11"/>
    </row>
    <row r="32" spans="2:55" hidden="1" x14ac:dyDescent="0.3">
      <c r="B32" s="11" t="s">
        <v>248</v>
      </c>
      <c r="C32" s="12">
        <v>2110528</v>
      </c>
      <c r="D32" s="13">
        <v>2</v>
      </c>
      <c r="E32" s="13">
        <v>12</v>
      </c>
      <c r="F32" s="11" t="s">
        <v>176</v>
      </c>
      <c r="G32" s="11" t="s">
        <v>177</v>
      </c>
      <c r="H32" s="11" t="s">
        <v>178</v>
      </c>
      <c r="I32" s="11" t="s">
        <v>198</v>
      </c>
      <c r="J32" s="4">
        <v>0.6</v>
      </c>
      <c r="K32" s="4">
        <v>0.77500000000000002</v>
      </c>
      <c r="L32" s="4">
        <v>0.67500000000000004</v>
      </c>
      <c r="M32" s="14">
        <v>218250</v>
      </c>
      <c r="N32" s="15">
        <v>250000</v>
      </c>
      <c r="O32" s="15">
        <v>218250</v>
      </c>
      <c r="P32" s="15">
        <v>780000</v>
      </c>
      <c r="Q32" s="3">
        <v>780000</v>
      </c>
      <c r="R32" s="5">
        <v>294.89603024574672</v>
      </c>
      <c r="S32" s="16">
        <v>4919.1022999999996</v>
      </c>
      <c r="T32" s="16">
        <v>2645</v>
      </c>
      <c r="U32" s="1">
        <v>429400</v>
      </c>
      <c r="V32" s="6">
        <v>162.34404536862004</v>
      </c>
      <c r="W32" s="23">
        <v>130950</v>
      </c>
      <c r="X32" s="23">
        <v>370978.75</v>
      </c>
      <c r="Y32" s="31">
        <v>501928.75</v>
      </c>
      <c r="Z32" s="24">
        <v>0.64349839743589743</v>
      </c>
      <c r="AA32" s="24">
        <v>0.77500000000000002</v>
      </c>
      <c r="AB32" s="5">
        <v>368814.75</v>
      </c>
      <c r="AC32" s="17">
        <v>44421</v>
      </c>
      <c r="AD32" s="1">
        <v>130950</v>
      </c>
      <c r="AE32" s="1">
        <v>237864.75</v>
      </c>
      <c r="AF32" s="26">
        <v>368814.75</v>
      </c>
      <c r="AG32" s="23">
        <v>0</v>
      </c>
      <c r="AH32" s="23">
        <v>0</v>
      </c>
      <c r="AI32" s="27">
        <v>0.69</v>
      </c>
      <c r="AJ32" s="23">
        <v>0</v>
      </c>
      <c r="AK32" s="23">
        <v>133114.00000000003</v>
      </c>
      <c r="AL32" s="23">
        <v>133114</v>
      </c>
      <c r="AM32" s="2">
        <v>368814.75</v>
      </c>
      <c r="AN32" s="2"/>
      <c r="AO32" s="28">
        <v>368814.75</v>
      </c>
      <c r="AP32" s="18">
        <v>44606</v>
      </c>
      <c r="AQ32" s="18">
        <v>44620</v>
      </c>
      <c r="AR32" s="18">
        <v>44650</v>
      </c>
      <c r="AS32" s="11"/>
      <c r="AT32" s="2">
        <v>742857.14285714284</v>
      </c>
      <c r="AU32" s="2">
        <v>37142.857142857145</v>
      </c>
      <c r="AV32" s="2">
        <v>780000</v>
      </c>
      <c r="AW32" s="2"/>
      <c r="AX32" s="14">
        <v>54390</v>
      </c>
      <c r="AY32" s="29">
        <v>6.9730769230769235E-2</v>
      </c>
      <c r="AZ32" s="11" t="s">
        <v>249</v>
      </c>
      <c r="BA32" s="33">
        <v>1</v>
      </c>
      <c r="BB32" s="19">
        <v>44093</v>
      </c>
      <c r="BC32" s="11"/>
    </row>
    <row r="33" spans="2:55" hidden="1" x14ac:dyDescent="0.3">
      <c r="B33" s="11" t="s">
        <v>250</v>
      </c>
      <c r="C33" s="12" t="s">
        <v>181</v>
      </c>
      <c r="D33" s="13">
        <v>2</v>
      </c>
      <c r="E33" s="13">
        <v>4</v>
      </c>
      <c r="F33" s="11" t="s">
        <v>176</v>
      </c>
      <c r="G33" s="11" t="s">
        <v>177</v>
      </c>
      <c r="H33" s="11" t="s">
        <v>178</v>
      </c>
      <c r="I33" s="11" t="s">
        <v>198</v>
      </c>
      <c r="J33" s="4">
        <v>0.6</v>
      </c>
      <c r="K33" s="4">
        <v>0.77500000000000002</v>
      </c>
      <c r="L33" s="4">
        <v>0.67500000000000004</v>
      </c>
      <c r="M33" s="14">
        <v>205234</v>
      </c>
      <c r="N33" s="15">
        <v>175000</v>
      </c>
      <c r="O33" s="15">
        <v>175000</v>
      </c>
      <c r="P33" s="15">
        <v>750000</v>
      </c>
      <c r="Q33" s="3">
        <v>745465.25</v>
      </c>
      <c r="R33" s="5">
        <v>260.74335431969217</v>
      </c>
      <c r="S33" s="16">
        <v>4899</v>
      </c>
      <c r="T33" s="16">
        <v>2859</v>
      </c>
      <c r="U33" s="1">
        <v>458100</v>
      </c>
      <c r="V33" s="6">
        <v>160.2308499475341</v>
      </c>
      <c r="W33" s="23">
        <v>105000</v>
      </c>
      <c r="X33" s="23">
        <v>398189.04375000001</v>
      </c>
      <c r="Y33" s="31">
        <v>503189.04375000001</v>
      </c>
      <c r="Z33" s="24">
        <v>0.67500000000000004</v>
      </c>
      <c r="AA33" s="24">
        <v>0.75857568547669807</v>
      </c>
      <c r="AB33" s="5">
        <v>418440.54</v>
      </c>
      <c r="AC33" s="17">
        <v>44491</v>
      </c>
      <c r="AD33" s="1">
        <v>152117.28</v>
      </c>
      <c r="AE33" s="1">
        <v>266323.26</v>
      </c>
      <c r="AF33" s="26">
        <v>418440.54000000004</v>
      </c>
      <c r="AG33" s="23">
        <v>0</v>
      </c>
      <c r="AH33" s="23">
        <v>0</v>
      </c>
      <c r="AI33" s="27">
        <v>0.81499999999999995</v>
      </c>
      <c r="AJ33" s="23">
        <v>0</v>
      </c>
      <c r="AK33" s="23">
        <v>84748.500000000029</v>
      </c>
      <c r="AL33" s="23">
        <v>84748.503749999974</v>
      </c>
      <c r="AM33" s="2">
        <v>418440.54</v>
      </c>
      <c r="AN33" s="2"/>
      <c r="AO33" s="28">
        <v>418440.54</v>
      </c>
      <c r="AP33" s="18">
        <v>44627</v>
      </c>
      <c r="AQ33" s="18">
        <v>44636</v>
      </c>
      <c r="AR33" s="18">
        <v>44663</v>
      </c>
      <c r="AS33" s="11"/>
      <c r="AT33" s="2">
        <v>709966.90476190473</v>
      </c>
      <c r="AU33" s="2">
        <v>35498.345238095266</v>
      </c>
      <c r="AV33" s="2">
        <v>745465.25</v>
      </c>
      <c r="AW33" s="2">
        <v>23530.5</v>
      </c>
      <c r="AX33" s="14">
        <v>74550</v>
      </c>
      <c r="AY33" s="29">
        <v>0.10000466151842759</v>
      </c>
      <c r="AZ33" s="11" t="s">
        <v>251</v>
      </c>
      <c r="BA33" s="33">
        <v>0.99395366666666662</v>
      </c>
      <c r="BB33" s="19">
        <v>44158</v>
      </c>
      <c r="BC33" s="11"/>
    </row>
    <row r="34" spans="2:55" hidden="1" x14ac:dyDescent="0.3">
      <c r="B34" s="11" t="s">
        <v>252</v>
      </c>
      <c r="C34" s="12">
        <v>2110528</v>
      </c>
      <c r="D34" s="13">
        <v>2</v>
      </c>
      <c r="E34" s="13">
        <v>21</v>
      </c>
      <c r="F34" s="11" t="s">
        <v>176</v>
      </c>
      <c r="G34" s="11" t="s">
        <v>177</v>
      </c>
      <c r="H34" s="11" t="s">
        <v>178</v>
      </c>
      <c r="I34" s="11" t="s">
        <v>198</v>
      </c>
      <c r="J34" s="4">
        <v>0.6</v>
      </c>
      <c r="K34" s="4">
        <v>0.77500000000000002</v>
      </c>
      <c r="L34" s="4">
        <v>0.67500000000000004</v>
      </c>
      <c r="M34" s="14">
        <v>220708</v>
      </c>
      <c r="N34" s="15">
        <v>200000</v>
      </c>
      <c r="O34" s="15">
        <v>200000</v>
      </c>
      <c r="P34" s="15">
        <v>765000</v>
      </c>
      <c r="Q34" s="3">
        <v>761783.4</v>
      </c>
      <c r="R34" s="5">
        <v>354.64776536312849</v>
      </c>
      <c r="S34" s="16">
        <v>4972.9218000000001</v>
      </c>
      <c r="T34" s="16">
        <v>2148</v>
      </c>
      <c r="U34" s="1">
        <v>445400</v>
      </c>
      <c r="V34" s="6">
        <v>207.35567970204841</v>
      </c>
      <c r="W34" s="23">
        <v>120000</v>
      </c>
      <c r="X34" s="23">
        <v>394203.79500000004</v>
      </c>
      <c r="Y34" s="31">
        <v>514203.79500000004</v>
      </c>
      <c r="Z34" s="24">
        <v>0.67500000000000004</v>
      </c>
      <c r="AA34" s="24">
        <v>0.77195258876938877</v>
      </c>
      <c r="AB34" s="5">
        <v>337380</v>
      </c>
      <c r="AC34" s="17">
        <v>44421</v>
      </c>
      <c r="AD34" s="1">
        <v>120000</v>
      </c>
      <c r="AE34" s="1">
        <v>217380</v>
      </c>
      <c r="AF34" s="26">
        <v>337380</v>
      </c>
      <c r="AG34" s="23">
        <v>337380</v>
      </c>
      <c r="AH34" s="23">
        <v>0</v>
      </c>
      <c r="AI34" s="27">
        <v>0.60299999999999998</v>
      </c>
      <c r="AJ34" s="23">
        <v>538755.39020000002</v>
      </c>
      <c r="AK34" s="23">
        <v>176823.80000000002</v>
      </c>
      <c r="AL34" s="23">
        <v>176823.79500000004</v>
      </c>
      <c r="AM34" s="2">
        <v>337380</v>
      </c>
      <c r="AN34" s="2"/>
      <c r="AO34" s="28">
        <v>337380</v>
      </c>
      <c r="AP34" s="18">
        <v>44665</v>
      </c>
      <c r="AQ34" s="18">
        <v>44669</v>
      </c>
      <c r="AR34" s="18">
        <v>44697</v>
      </c>
      <c r="AS34" s="11"/>
      <c r="AT34" s="2">
        <v>725508</v>
      </c>
      <c r="AU34" s="2">
        <v>36275.4</v>
      </c>
      <c r="AV34" s="2">
        <v>761783.4</v>
      </c>
      <c r="AW34" s="2"/>
      <c r="AX34" s="14">
        <v>75000</v>
      </c>
      <c r="AY34" s="29">
        <v>9.8453182361285377E-2</v>
      </c>
      <c r="AZ34" s="11" t="s">
        <v>253</v>
      </c>
      <c r="BA34" s="33">
        <v>0.99579529411764711</v>
      </c>
      <c r="BB34" s="19">
        <v>44111</v>
      </c>
      <c r="BC34" s="11"/>
    </row>
    <row r="35" spans="2:55" hidden="1" x14ac:dyDescent="0.3">
      <c r="B35" s="11" t="s">
        <v>254</v>
      </c>
      <c r="C35" s="12">
        <v>2110528</v>
      </c>
      <c r="D35" s="13">
        <v>2</v>
      </c>
      <c r="E35" s="13">
        <v>13</v>
      </c>
      <c r="F35" s="11" t="s">
        <v>176</v>
      </c>
      <c r="G35" s="11" t="s">
        <v>177</v>
      </c>
      <c r="H35" s="11" t="s">
        <v>178</v>
      </c>
      <c r="I35" s="11" t="s">
        <v>198</v>
      </c>
      <c r="J35" s="4">
        <v>0.6</v>
      </c>
      <c r="K35" s="4">
        <v>0.77500000000000002</v>
      </c>
      <c r="L35" s="4">
        <v>0.67500000000000004</v>
      </c>
      <c r="M35" s="14">
        <v>207000</v>
      </c>
      <c r="N35" s="15">
        <v>250000</v>
      </c>
      <c r="O35" s="15">
        <v>207000</v>
      </c>
      <c r="P35" s="15">
        <v>735000</v>
      </c>
      <c r="Q35" s="3">
        <v>730364.25</v>
      </c>
      <c r="R35" s="5">
        <v>298.10785714285714</v>
      </c>
      <c r="S35" s="16">
        <v>4888</v>
      </c>
      <c r="T35" s="16">
        <v>2450</v>
      </c>
      <c r="U35" s="1">
        <v>422200</v>
      </c>
      <c r="V35" s="6">
        <v>172.32653061224491</v>
      </c>
      <c r="W35" s="23">
        <v>124200</v>
      </c>
      <c r="X35" s="23">
        <v>363430</v>
      </c>
      <c r="Y35" s="31">
        <v>487630</v>
      </c>
      <c r="Z35" s="24">
        <v>0.66765316073452385</v>
      </c>
      <c r="AA35" s="24">
        <v>0.77500000000000002</v>
      </c>
      <c r="AB35" s="5">
        <v>398968</v>
      </c>
      <c r="AC35" s="17">
        <v>44491</v>
      </c>
      <c r="AD35" s="1">
        <v>124200</v>
      </c>
      <c r="AE35" s="1">
        <v>274768</v>
      </c>
      <c r="AF35" s="26">
        <v>398968</v>
      </c>
      <c r="AG35" s="23">
        <v>0</v>
      </c>
      <c r="AH35" s="23">
        <v>0</v>
      </c>
      <c r="AI35" s="27">
        <v>0.79</v>
      </c>
      <c r="AJ35" s="23">
        <v>0</v>
      </c>
      <c r="AK35" s="23">
        <v>88661.999999999985</v>
      </c>
      <c r="AL35" s="23">
        <v>88662</v>
      </c>
      <c r="AM35" s="2">
        <v>398968</v>
      </c>
      <c r="AN35" s="2"/>
      <c r="AO35" s="28">
        <v>398968</v>
      </c>
      <c r="AP35" s="18">
        <v>44677</v>
      </c>
      <c r="AQ35" s="18">
        <v>44683</v>
      </c>
      <c r="AR35" s="18">
        <v>44714</v>
      </c>
      <c r="AS35" s="11"/>
      <c r="AT35" s="2">
        <v>695585</v>
      </c>
      <c r="AU35" s="2">
        <v>34779.25</v>
      </c>
      <c r="AV35" s="2">
        <v>730364.25</v>
      </c>
      <c r="AW35" s="2">
        <v>4168.5</v>
      </c>
      <c r="AX35" s="14">
        <v>50000</v>
      </c>
      <c r="AY35" s="29">
        <v>6.8458991523749971E-2</v>
      </c>
      <c r="AZ35" s="11" t="s">
        <v>255</v>
      </c>
      <c r="BA35" s="33">
        <v>0.99369285714285716</v>
      </c>
      <c r="BB35" s="19">
        <v>44214</v>
      </c>
      <c r="BC35" s="11" t="s">
        <v>233</v>
      </c>
    </row>
    <row r="36" spans="2:55" x14ac:dyDescent="0.3">
      <c r="B36" s="11" t="s">
        <v>256</v>
      </c>
      <c r="C36" s="12" t="s">
        <v>244</v>
      </c>
      <c r="D36" s="13">
        <v>1</v>
      </c>
      <c r="E36" s="13">
        <v>35</v>
      </c>
      <c r="F36" s="11" t="s">
        <v>239</v>
      </c>
      <c r="G36" s="11" t="s">
        <v>177</v>
      </c>
      <c r="H36" s="11" t="s">
        <v>178</v>
      </c>
      <c r="I36" s="11" t="s">
        <v>198</v>
      </c>
      <c r="J36" s="4">
        <v>0.5</v>
      </c>
      <c r="K36" s="4">
        <v>0.75</v>
      </c>
      <c r="L36" s="4">
        <v>0.65</v>
      </c>
      <c r="M36" s="14">
        <v>184000</v>
      </c>
      <c r="N36" s="15">
        <v>185000</v>
      </c>
      <c r="O36" s="15">
        <v>184000</v>
      </c>
      <c r="P36" s="15">
        <v>695000</v>
      </c>
      <c r="Q36" s="3">
        <v>694773.45</v>
      </c>
      <c r="R36" s="5">
        <v>384.70290697674415</v>
      </c>
      <c r="S36" s="16">
        <v>8860</v>
      </c>
      <c r="T36" s="16">
        <v>1806</v>
      </c>
      <c r="U36" s="1">
        <v>418900</v>
      </c>
      <c r="V36" s="6">
        <v>231.94905869324475</v>
      </c>
      <c r="W36" s="23">
        <v>92000</v>
      </c>
      <c r="X36" s="23">
        <v>359602.74249999999</v>
      </c>
      <c r="Y36" s="31">
        <v>451602.74249999999</v>
      </c>
      <c r="Z36" s="24">
        <v>0.65</v>
      </c>
      <c r="AA36" s="24">
        <v>0.7490508251783049</v>
      </c>
      <c r="AB36" s="5">
        <v>310852.34000000003</v>
      </c>
      <c r="AC36" s="17">
        <v>44470</v>
      </c>
      <c r="AD36" s="1">
        <v>92000</v>
      </c>
      <c r="AE36" s="1">
        <v>218852.34</v>
      </c>
      <c r="AF36" s="26">
        <v>310852.33999999997</v>
      </c>
      <c r="AG36" s="23">
        <v>0</v>
      </c>
      <c r="AH36" s="23">
        <v>0</v>
      </c>
      <c r="AI36" s="27">
        <v>0.66400000000000003</v>
      </c>
      <c r="AJ36" s="23">
        <v>0</v>
      </c>
      <c r="AK36" s="23">
        <v>140750.39999999999</v>
      </c>
      <c r="AL36" s="23">
        <v>140750.40250000003</v>
      </c>
      <c r="AM36" s="2">
        <v>310852.34000000003</v>
      </c>
      <c r="AN36" s="2"/>
      <c r="AO36" s="28">
        <v>310852.34000000003</v>
      </c>
      <c r="AP36" s="18">
        <v>44671</v>
      </c>
      <c r="AQ36" s="18">
        <v>44686</v>
      </c>
      <c r="AR36" s="18">
        <v>44714</v>
      </c>
      <c r="AS36" s="11"/>
      <c r="AT36" s="2">
        <v>661688.99999999988</v>
      </c>
      <c r="AU36" s="2">
        <v>33084.449999999997</v>
      </c>
      <c r="AV36" s="2">
        <v>694773.45</v>
      </c>
      <c r="AW36" s="2">
        <v>3313</v>
      </c>
      <c r="AX36" s="14">
        <v>45000</v>
      </c>
      <c r="AY36" s="29">
        <v>6.4769314371468864E-2</v>
      </c>
      <c r="AZ36" s="11" t="s">
        <v>257</v>
      </c>
      <c r="BA36" s="33">
        <v>0.99967402877697831</v>
      </c>
      <c r="BB36" s="19">
        <v>44283</v>
      </c>
      <c r="BC36" s="11" t="s">
        <v>258</v>
      </c>
    </row>
    <row r="37" spans="2:55" x14ac:dyDescent="0.3">
      <c r="B37" s="11" t="s">
        <v>259</v>
      </c>
      <c r="C37" s="12" t="s">
        <v>244</v>
      </c>
      <c r="D37" s="13">
        <v>1</v>
      </c>
      <c r="E37" s="13">
        <v>39</v>
      </c>
      <c r="F37" s="11" t="s">
        <v>239</v>
      </c>
      <c r="G37" s="11" t="s">
        <v>177</v>
      </c>
      <c r="H37" s="11" t="s">
        <v>178</v>
      </c>
      <c r="I37" s="11" t="s">
        <v>198</v>
      </c>
      <c r="J37" s="4">
        <v>0.5</v>
      </c>
      <c r="K37" s="4">
        <v>0.75</v>
      </c>
      <c r="L37" s="4">
        <v>0.65</v>
      </c>
      <c r="M37" s="14">
        <v>184000</v>
      </c>
      <c r="N37" s="15">
        <v>185000</v>
      </c>
      <c r="O37" s="15">
        <v>184000</v>
      </c>
      <c r="P37" s="15">
        <v>685000</v>
      </c>
      <c r="Q37" s="3">
        <v>682500</v>
      </c>
      <c r="R37" s="5">
        <v>259.21002658564373</v>
      </c>
      <c r="S37" s="16">
        <v>8860</v>
      </c>
      <c r="T37" s="16">
        <v>2633</v>
      </c>
      <c r="U37" s="1">
        <v>437400</v>
      </c>
      <c r="V37" s="6">
        <v>166.12229396126091</v>
      </c>
      <c r="W37" s="23">
        <v>92000</v>
      </c>
      <c r="X37" s="23">
        <v>351625</v>
      </c>
      <c r="Y37" s="31">
        <v>443625</v>
      </c>
      <c r="Z37" s="24">
        <v>0.65</v>
      </c>
      <c r="AA37" s="24">
        <v>0.71391213389121344</v>
      </c>
      <c r="AB37" s="5">
        <v>334275</v>
      </c>
      <c r="AC37" s="17">
        <v>44470</v>
      </c>
      <c r="AD37" s="1">
        <v>92000</v>
      </c>
      <c r="AE37" s="1">
        <v>242275</v>
      </c>
      <c r="AF37" s="26">
        <v>334275</v>
      </c>
      <c r="AG37" s="23">
        <v>0</v>
      </c>
      <c r="AH37" s="23">
        <v>0</v>
      </c>
      <c r="AI37" s="27">
        <v>0.75</v>
      </c>
      <c r="AJ37" s="23">
        <v>0</v>
      </c>
      <c r="AK37" s="23">
        <v>109350</v>
      </c>
      <c r="AL37" s="23">
        <v>109350</v>
      </c>
      <c r="AM37" s="2">
        <v>334275</v>
      </c>
      <c r="AN37" s="2"/>
      <c r="AO37" s="28">
        <v>334275</v>
      </c>
      <c r="AP37" s="18">
        <v>44711</v>
      </c>
      <c r="AQ37" s="18">
        <v>44718</v>
      </c>
      <c r="AR37" s="18">
        <v>44748</v>
      </c>
      <c r="AS37" s="11"/>
      <c r="AT37" s="2">
        <v>650000</v>
      </c>
      <c r="AU37" s="2">
        <v>32500</v>
      </c>
      <c r="AV37" s="2">
        <v>682500</v>
      </c>
      <c r="AW37" s="2">
        <v>16625.349999999999</v>
      </c>
      <c r="AX37" s="14">
        <v>35000</v>
      </c>
      <c r="AY37" s="29">
        <v>5.128205128205128E-2</v>
      </c>
      <c r="AZ37" s="11" t="s">
        <v>260</v>
      </c>
      <c r="BA37" s="33">
        <v>0.9963503649635036</v>
      </c>
      <c r="BB37" s="19">
        <v>44205</v>
      </c>
      <c r="BC37" s="11" t="s">
        <v>258</v>
      </c>
    </row>
    <row r="38" spans="2:55" hidden="1" x14ac:dyDescent="0.3">
      <c r="B38" s="11" t="s">
        <v>261</v>
      </c>
      <c r="C38" s="12">
        <v>2110528</v>
      </c>
      <c r="D38" s="13">
        <v>2</v>
      </c>
      <c r="E38" s="13">
        <v>14</v>
      </c>
      <c r="F38" s="11" t="s">
        <v>176</v>
      </c>
      <c r="G38" s="11" t="s">
        <v>177</v>
      </c>
      <c r="H38" s="11" t="s">
        <v>178</v>
      </c>
      <c r="I38" s="11" t="s">
        <v>198</v>
      </c>
      <c r="J38" s="4">
        <v>0.6</v>
      </c>
      <c r="K38" s="4">
        <v>0.77500000000000002</v>
      </c>
      <c r="L38" s="4">
        <v>0.67500000000000004</v>
      </c>
      <c r="M38" s="14">
        <v>208800</v>
      </c>
      <c r="N38" s="15">
        <v>200000</v>
      </c>
      <c r="O38" s="15">
        <v>200000</v>
      </c>
      <c r="P38" s="15">
        <v>660000</v>
      </c>
      <c r="Q38" s="3">
        <v>650000</v>
      </c>
      <c r="R38" s="5">
        <v>258.6549940310386</v>
      </c>
      <c r="S38" s="16">
        <v>5663</v>
      </c>
      <c r="T38" s="16">
        <v>2513</v>
      </c>
      <c r="U38" s="1">
        <v>363200</v>
      </c>
      <c r="V38" s="6">
        <v>144.5284520493434</v>
      </c>
      <c r="W38" s="23">
        <v>120000</v>
      </c>
      <c r="X38" s="23">
        <v>318750</v>
      </c>
      <c r="Y38" s="31">
        <v>438750</v>
      </c>
      <c r="Z38" s="24">
        <v>0.67500000000000004</v>
      </c>
      <c r="AA38" s="24">
        <v>0.76704545454545459</v>
      </c>
      <c r="AB38" s="5">
        <v>362478</v>
      </c>
      <c r="AC38" s="17">
        <v>44582</v>
      </c>
      <c r="AD38" s="1">
        <v>120000</v>
      </c>
      <c r="AE38" s="1">
        <v>242478</v>
      </c>
      <c r="AF38" s="26">
        <v>362478</v>
      </c>
      <c r="AG38" s="23">
        <v>0</v>
      </c>
      <c r="AH38" s="23">
        <v>0</v>
      </c>
      <c r="AI38" s="27">
        <v>0.79</v>
      </c>
      <c r="AJ38" s="23">
        <v>0</v>
      </c>
      <c r="AK38" s="23">
        <v>76271.999999999985</v>
      </c>
      <c r="AL38" s="23">
        <v>76272</v>
      </c>
      <c r="AM38" s="2">
        <v>362478</v>
      </c>
      <c r="AN38" s="2"/>
      <c r="AO38" s="28">
        <v>362478</v>
      </c>
      <c r="AP38" s="18">
        <v>44727</v>
      </c>
      <c r="AQ38" s="18">
        <v>44728</v>
      </c>
      <c r="AR38" s="18">
        <v>44761</v>
      </c>
      <c r="AS38" s="11"/>
      <c r="AT38" s="2">
        <v>619047.61904761905</v>
      </c>
      <c r="AU38" s="2">
        <v>30952.380952380947</v>
      </c>
      <c r="AV38" s="2">
        <v>650000</v>
      </c>
      <c r="AW38" s="2">
        <v>25972.639999999999</v>
      </c>
      <c r="AX38" s="14">
        <v>32000</v>
      </c>
      <c r="AY38" s="29">
        <v>4.9230769230769231E-2</v>
      </c>
      <c r="AZ38" s="11" t="s">
        <v>262</v>
      </c>
      <c r="BA38" s="33">
        <v>0.98484848484848486</v>
      </c>
      <c r="BB38" s="19">
        <v>44180</v>
      </c>
      <c r="BC38" s="11" t="s">
        <v>263</v>
      </c>
    </row>
    <row r="39" spans="2:55" x14ac:dyDescent="0.3">
      <c r="B39" s="11" t="s">
        <v>264</v>
      </c>
      <c r="C39" s="12" t="s">
        <v>244</v>
      </c>
      <c r="D39" s="13">
        <v>1</v>
      </c>
      <c r="E39" s="13">
        <v>34</v>
      </c>
      <c r="F39" s="11" t="s">
        <v>239</v>
      </c>
      <c r="G39" s="11" t="s">
        <v>177</v>
      </c>
      <c r="H39" s="11" t="s">
        <v>178</v>
      </c>
      <c r="I39" s="11" t="s">
        <v>198</v>
      </c>
      <c r="J39" s="4">
        <v>0.5</v>
      </c>
      <c r="K39" s="4">
        <v>0.75</v>
      </c>
      <c r="L39" s="4">
        <v>0.65</v>
      </c>
      <c r="M39" s="14">
        <v>184000</v>
      </c>
      <c r="N39" s="15">
        <v>185000</v>
      </c>
      <c r="O39" s="15">
        <v>184000</v>
      </c>
      <c r="P39" s="15">
        <v>760000</v>
      </c>
      <c r="Q39" s="3">
        <v>756750.75</v>
      </c>
      <c r="R39" s="5">
        <v>304.40496781979084</v>
      </c>
      <c r="S39" s="16">
        <v>10193</v>
      </c>
      <c r="T39" s="16">
        <v>2486</v>
      </c>
      <c r="U39" s="1">
        <v>489900</v>
      </c>
      <c r="V39" s="6">
        <v>197.06355591311345</v>
      </c>
      <c r="W39" s="23">
        <v>92000</v>
      </c>
      <c r="X39" s="23">
        <v>399887.98749999999</v>
      </c>
      <c r="Y39" s="31">
        <v>491887.98749999999</v>
      </c>
      <c r="Z39" s="24">
        <v>0.65</v>
      </c>
      <c r="AA39" s="24">
        <v>0.72991243136963935</v>
      </c>
      <c r="AB39" s="5">
        <v>464453.59</v>
      </c>
      <c r="AC39" s="17">
        <v>44470</v>
      </c>
      <c r="AD39" s="1">
        <v>92000</v>
      </c>
      <c r="AE39" s="1">
        <v>372453.58999999997</v>
      </c>
      <c r="AF39" s="26">
        <v>464453.58999999997</v>
      </c>
      <c r="AG39" s="23">
        <v>0</v>
      </c>
      <c r="AH39" s="23">
        <v>0</v>
      </c>
      <c r="AI39" s="27">
        <v>0.94399999999999995</v>
      </c>
      <c r="AJ39" s="23">
        <v>0</v>
      </c>
      <c r="AK39" s="23">
        <v>27434.400000000023</v>
      </c>
      <c r="AL39" s="23">
        <v>27434.397500000021</v>
      </c>
      <c r="AM39" s="2">
        <v>464453.58999999997</v>
      </c>
      <c r="AN39" s="2"/>
      <c r="AO39" s="28">
        <v>464453.58999999997</v>
      </c>
      <c r="AP39" s="18"/>
      <c r="AQ39" s="18">
        <v>44757</v>
      </c>
      <c r="AR39" s="18">
        <v>44781</v>
      </c>
      <c r="AS39" s="11"/>
      <c r="AT39" s="2">
        <v>720715</v>
      </c>
      <c r="AU39" s="2">
        <v>36035.75</v>
      </c>
      <c r="AV39" s="2">
        <v>756750.75</v>
      </c>
      <c r="AW39" s="2">
        <v>10672.75</v>
      </c>
      <c r="AX39" s="14">
        <v>75000</v>
      </c>
      <c r="AY39" s="29">
        <v>9.9107929526333474E-2</v>
      </c>
      <c r="AZ39" s="11" t="s">
        <v>265</v>
      </c>
      <c r="BA39" s="33">
        <v>0.99572467105263163</v>
      </c>
      <c r="BB39" s="19">
        <v>44277</v>
      </c>
      <c r="BC39" s="11"/>
    </row>
    <row r="40" spans="2:55" hidden="1" x14ac:dyDescent="0.3">
      <c r="B40" s="11" t="s">
        <v>266</v>
      </c>
      <c r="C40" s="12">
        <v>2110528</v>
      </c>
      <c r="D40" s="13">
        <v>6</v>
      </c>
      <c r="E40" s="13">
        <v>20</v>
      </c>
      <c r="F40" s="11" t="s">
        <v>176</v>
      </c>
      <c r="G40" s="11" t="s">
        <v>177</v>
      </c>
      <c r="H40" s="11" t="s">
        <v>178</v>
      </c>
      <c r="I40" s="11" t="s">
        <v>198</v>
      </c>
      <c r="J40" s="4">
        <v>0.6</v>
      </c>
      <c r="K40" s="4">
        <v>0.77500000000000002</v>
      </c>
      <c r="L40" s="4">
        <v>0.67500000000000004</v>
      </c>
      <c r="M40" s="14">
        <v>191250</v>
      </c>
      <c r="N40" s="15">
        <v>175000</v>
      </c>
      <c r="O40" s="15">
        <v>175000</v>
      </c>
      <c r="P40" s="15">
        <v>690000</v>
      </c>
      <c r="Q40" s="3">
        <v>686344.95</v>
      </c>
      <c r="R40" s="5">
        <v>226.74098116947471</v>
      </c>
      <c r="S40" s="16">
        <v>5185</v>
      </c>
      <c r="T40" s="16">
        <v>3027</v>
      </c>
      <c r="U40" s="1">
        <v>463400</v>
      </c>
      <c r="V40" s="6">
        <v>153.08886686488273</v>
      </c>
      <c r="W40" s="23">
        <v>105000</v>
      </c>
      <c r="X40" s="23">
        <v>358282.84125</v>
      </c>
      <c r="Y40" s="31">
        <v>463282.84125</v>
      </c>
      <c r="Z40" s="24">
        <v>0.67500000000000004</v>
      </c>
      <c r="AA40" s="24">
        <v>0.70768019743374322</v>
      </c>
      <c r="AB40" s="5">
        <v>407674.84</v>
      </c>
      <c r="AC40" s="17">
        <v>44582</v>
      </c>
      <c r="AD40" s="1">
        <v>105000</v>
      </c>
      <c r="AE40" s="1">
        <v>302674.84000000003</v>
      </c>
      <c r="AF40" s="26">
        <v>407674.84</v>
      </c>
      <c r="AG40" s="23">
        <v>0</v>
      </c>
      <c r="AH40" s="23">
        <v>0</v>
      </c>
      <c r="AI40" s="27">
        <v>0.88</v>
      </c>
      <c r="AJ40" s="23">
        <v>0</v>
      </c>
      <c r="AK40" s="23">
        <v>55608</v>
      </c>
      <c r="AL40" s="23">
        <v>55608.001249999972</v>
      </c>
      <c r="AM40" s="2">
        <v>407674.84</v>
      </c>
      <c r="AN40" s="2"/>
      <c r="AO40" s="28">
        <v>407674.84</v>
      </c>
      <c r="AP40" s="18">
        <v>44762</v>
      </c>
      <c r="AQ40" s="18">
        <v>44775</v>
      </c>
      <c r="AR40" s="18">
        <v>44802</v>
      </c>
      <c r="AS40" s="11"/>
      <c r="AT40" s="2">
        <v>653661.85714285704</v>
      </c>
      <c r="AU40" s="2">
        <v>32683.09285714291</v>
      </c>
      <c r="AV40" s="2">
        <v>686344.95</v>
      </c>
      <c r="AW40" s="2"/>
      <c r="AX40" s="14">
        <v>40000</v>
      </c>
      <c r="AY40" s="29">
        <v>5.8279732370726998E-2</v>
      </c>
      <c r="AZ40" s="11" t="s">
        <v>267</v>
      </c>
      <c r="BA40" s="33">
        <v>0.99470282608695648</v>
      </c>
      <c r="BB40" s="19">
        <v>44178</v>
      </c>
      <c r="BC40" s="11"/>
    </row>
    <row r="41" spans="2:55" x14ac:dyDescent="0.3">
      <c r="B41" s="11" t="s">
        <v>268</v>
      </c>
      <c r="C41" s="12" t="s">
        <v>244</v>
      </c>
      <c r="D41" s="13">
        <v>1</v>
      </c>
      <c r="E41" s="13">
        <v>36</v>
      </c>
      <c r="F41" s="11" t="s">
        <v>239</v>
      </c>
      <c r="G41" s="11" t="s">
        <v>177</v>
      </c>
      <c r="H41" s="11" t="s">
        <v>178</v>
      </c>
      <c r="I41" s="11" t="s">
        <v>198</v>
      </c>
      <c r="J41" s="4">
        <v>0.5</v>
      </c>
      <c r="K41" s="4">
        <v>0.75</v>
      </c>
      <c r="L41" s="4">
        <v>0.65</v>
      </c>
      <c r="M41" s="14">
        <v>184000</v>
      </c>
      <c r="N41" s="15">
        <v>185000</v>
      </c>
      <c r="O41" s="15">
        <v>184000</v>
      </c>
      <c r="P41" s="15">
        <v>860000</v>
      </c>
      <c r="Q41" s="3">
        <v>855492.75</v>
      </c>
      <c r="R41" s="5">
        <v>473.69476744186045</v>
      </c>
      <c r="S41" s="16">
        <v>8860</v>
      </c>
      <c r="T41" s="16">
        <v>1806</v>
      </c>
      <c r="U41" s="1">
        <v>542400</v>
      </c>
      <c r="V41" s="6">
        <v>300.33222591362124</v>
      </c>
      <c r="W41" s="23">
        <v>92000</v>
      </c>
      <c r="X41" s="23">
        <v>428000</v>
      </c>
      <c r="Y41" s="31">
        <v>520000</v>
      </c>
      <c r="Z41" s="24">
        <v>0.60783682854121202</v>
      </c>
      <c r="AA41" s="24">
        <v>0.71585903083700442</v>
      </c>
      <c r="AB41" s="5">
        <v>384400</v>
      </c>
      <c r="AC41" s="17">
        <v>44470</v>
      </c>
      <c r="AD41" s="1">
        <v>92000</v>
      </c>
      <c r="AE41" s="1">
        <v>292400</v>
      </c>
      <c r="AF41" s="26">
        <v>384400</v>
      </c>
      <c r="AG41" s="23">
        <v>0</v>
      </c>
      <c r="AH41" s="23">
        <v>0</v>
      </c>
      <c r="AI41" s="27">
        <v>0.75</v>
      </c>
      <c r="AJ41" s="23">
        <v>0</v>
      </c>
      <c r="AK41" s="23">
        <v>135600</v>
      </c>
      <c r="AL41" s="23">
        <v>135600</v>
      </c>
      <c r="AM41" s="2">
        <v>384400</v>
      </c>
      <c r="AN41" s="2"/>
      <c r="AO41" s="28">
        <v>384400</v>
      </c>
      <c r="AP41" s="18"/>
      <c r="AQ41" s="18">
        <v>44776</v>
      </c>
      <c r="AR41" s="18">
        <v>44802</v>
      </c>
      <c r="AS41" s="11"/>
      <c r="AT41" s="2">
        <v>814755</v>
      </c>
      <c r="AU41" s="2">
        <v>40737.75</v>
      </c>
      <c r="AV41" s="2">
        <v>855492.75</v>
      </c>
      <c r="AW41" s="2">
        <v>-5743.5</v>
      </c>
      <c r="AX41" s="14">
        <v>85500</v>
      </c>
      <c r="AY41" s="29">
        <v>9.9942401615910836E-2</v>
      </c>
      <c r="AZ41" s="11" t="s">
        <v>269</v>
      </c>
      <c r="BA41" s="33">
        <v>0.99475901162790703</v>
      </c>
      <c r="BB41" s="19">
        <v>44287</v>
      </c>
      <c r="BC41" s="11"/>
    </row>
    <row r="42" spans="2:55" hidden="1" x14ac:dyDescent="0.3">
      <c r="B42" s="11" t="s">
        <v>270</v>
      </c>
      <c r="C42" s="12">
        <v>2110528</v>
      </c>
      <c r="D42" s="13">
        <v>2</v>
      </c>
      <c r="E42" s="13">
        <v>23</v>
      </c>
      <c r="F42" s="11" t="s">
        <v>176</v>
      </c>
      <c r="G42" s="11" t="s">
        <v>177</v>
      </c>
      <c r="H42" s="11" t="s">
        <v>178</v>
      </c>
      <c r="I42" s="11" t="s">
        <v>198</v>
      </c>
      <c r="J42" s="4">
        <v>0.6</v>
      </c>
      <c r="K42" s="4">
        <v>0.77500000000000002</v>
      </c>
      <c r="L42" s="4">
        <v>0.67500000000000004</v>
      </c>
      <c r="M42" s="14">
        <v>239900</v>
      </c>
      <c r="N42" s="15">
        <v>300000</v>
      </c>
      <c r="O42" s="15">
        <v>239900</v>
      </c>
      <c r="P42" s="15">
        <v>960000</v>
      </c>
      <c r="Q42" s="3">
        <v>801979.5</v>
      </c>
      <c r="R42" s="5">
        <v>310.60398915569328</v>
      </c>
      <c r="S42" s="16">
        <v>5413.380588</v>
      </c>
      <c r="T42" s="16">
        <v>2582</v>
      </c>
      <c r="U42" s="1">
        <v>457400</v>
      </c>
      <c r="V42" s="6">
        <v>177.14949651432997</v>
      </c>
      <c r="W42" s="23">
        <v>143940</v>
      </c>
      <c r="X42" s="23">
        <v>396060</v>
      </c>
      <c r="Y42" s="31">
        <v>540000</v>
      </c>
      <c r="Z42" s="24">
        <v>0.67333391938322618</v>
      </c>
      <c r="AA42" s="24">
        <v>0.77441560304029833</v>
      </c>
      <c r="AB42" s="5">
        <v>425650</v>
      </c>
      <c r="AC42" s="17">
        <v>44645</v>
      </c>
      <c r="AD42" s="1">
        <v>143940</v>
      </c>
      <c r="AE42" s="1">
        <v>281710</v>
      </c>
      <c r="AF42" s="26">
        <v>425650</v>
      </c>
      <c r="AG42" s="23">
        <v>0</v>
      </c>
      <c r="AH42" s="23">
        <v>0</v>
      </c>
      <c r="AI42" s="27">
        <v>0.75</v>
      </c>
      <c r="AJ42" s="23">
        <v>0</v>
      </c>
      <c r="AK42" s="23">
        <v>114350</v>
      </c>
      <c r="AL42" s="23">
        <v>114350</v>
      </c>
      <c r="AM42" s="2">
        <v>425650</v>
      </c>
      <c r="AN42" s="2"/>
      <c r="AO42" s="28">
        <v>425650</v>
      </c>
      <c r="AP42" s="18"/>
      <c r="AQ42" s="18">
        <v>44799</v>
      </c>
      <c r="AR42" s="18">
        <v>44827</v>
      </c>
      <c r="AS42" s="11"/>
      <c r="AT42" s="2">
        <v>763790</v>
      </c>
      <c r="AU42" s="2">
        <v>38189.5</v>
      </c>
      <c r="AV42" s="2">
        <v>801979.5</v>
      </c>
      <c r="AW42" s="2"/>
      <c r="AX42" s="14">
        <v>40000</v>
      </c>
      <c r="AY42" s="29">
        <v>4.9876586620979713E-2</v>
      </c>
      <c r="AZ42" s="11" t="s">
        <v>271</v>
      </c>
      <c r="BA42" s="33">
        <v>0.83539531249999999</v>
      </c>
      <c r="BB42" s="19">
        <v>44305</v>
      </c>
      <c r="BC42" s="11" t="s">
        <v>263</v>
      </c>
    </row>
    <row r="43" spans="2:55" hidden="1" x14ac:dyDescent="0.3">
      <c r="B43" s="11" t="s">
        <v>272</v>
      </c>
      <c r="C43" s="12">
        <v>2110528</v>
      </c>
      <c r="D43" s="13">
        <v>2</v>
      </c>
      <c r="E43" s="13">
        <v>8</v>
      </c>
      <c r="F43" s="11" t="s">
        <v>176</v>
      </c>
      <c r="G43" s="11" t="s">
        <v>177</v>
      </c>
      <c r="H43" s="11" t="s">
        <v>178</v>
      </c>
      <c r="I43" s="11" t="s">
        <v>198</v>
      </c>
      <c r="J43" s="4">
        <v>0.6</v>
      </c>
      <c r="K43" s="4">
        <v>0.77500000000000002</v>
      </c>
      <c r="L43" s="4">
        <v>0.67500000000000004</v>
      </c>
      <c r="M43" s="14">
        <v>220708</v>
      </c>
      <c r="N43" s="15">
        <v>250000</v>
      </c>
      <c r="O43" s="15">
        <v>220708</v>
      </c>
      <c r="P43" s="15">
        <v>920000</v>
      </c>
      <c r="Q43" s="3">
        <v>910000</v>
      </c>
      <c r="R43" s="5">
        <v>313.68493622888661</v>
      </c>
      <c r="S43" s="16">
        <v>4980</v>
      </c>
      <c r="T43" s="16">
        <v>2901</v>
      </c>
      <c r="U43" s="1">
        <v>531100</v>
      </c>
      <c r="V43" s="6">
        <v>183.07480179248535</v>
      </c>
      <c r="W43" s="23">
        <v>132424.79999999999</v>
      </c>
      <c r="X43" s="23">
        <v>407575.2</v>
      </c>
      <c r="Y43" s="31">
        <v>540000</v>
      </c>
      <c r="Z43" s="24">
        <v>0.59340659340659341</v>
      </c>
      <c r="AA43" s="24">
        <v>0.71826849408359583</v>
      </c>
      <c r="AB43" s="5">
        <v>449713</v>
      </c>
      <c r="AC43" s="17">
        <v>44491</v>
      </c>
      <c r="AD43" s="1">
        <v>132424.79999999999</v>
      </c>
      <c r="AE43" s="1">
        <v>317288.2</v>
      </c>
      <c r="AF43" s="26">
        <v>449713</v>
      </c>
      <c r="AG43" s="23">
        <v>0</v>
      </c>
      <c r="AH43" s="23">
        <v>0</v>
      </c>
      <c r="AI43" s="27">
        <v>0.83</v>
      </c>
      <c r="AJ43" s="23">
        <v>0</v>
      </c>
      <c r="AK43" s="23">
        <v>90287.000000000015</v>
      </c>
      <c r="AL43" s="23">
        <v>90287</v>
      </c>
      <c r="AM43" s="2">
        <v>449713</v>
      </c>
      <c r="AN43" s="2"/>
      <c r="AO43" s="28">
        <v>449713</v>
      </c>
      <c r="AP43" s="18"/>
      <c r="AQ43" s="18">
        <v>44802</v>
      </c>
      <c r="AR43" s="18">
        <v>44827</v>
      </c>
      <c r="AS43" s="11"/>
      <c r="AT43" s="2">
        <v>866666.66666666663</v>
      </c>
      <c r="AU43" s="2">
        <v>43333.333333333372</v>
      </c>
      <c r="AV43" s="2">
        <v>910000</v>
      </c>
      <c r="AW43" s="2"/>
      <c r="AX43" s="14">
        <v>86000</v>
      </c>
      <c r="AY43" s="29">
        <v>9.4505494505494503E-2</v>
      </c>
      <c r="AZ43" s="11" t="s">
        <v>273</v>
      </c>
      <c r="BA43" s="33">
        <v>0.98913043478260865</v>
      </c>
      <c r="BB43" s="19">
        <v>44233</v>
      </c>
      <c r="BC43" s="11"/>
    </row>
    <row r="44" spans="2:55" x14ac:dyDescent="0.3">
      <c r="B44" s="11" t="s">
        <v>274</v>
      </c>
      <c r="C44" s="12" t="s">
        <v>244</v>
      </c>
      <c r="D44" s="13">
        <v>1</v>
      </c>
      <c r="E44" s="13">
        <v>33</v>
      </c>
      <c r="F44" s="11" t="s">
        <v>239</v>
      </c>
      <c r="G44" s="11" t="s">
        <v>177</v>
      </c>
      <c r="H44" s="11" t="s">
        <v>178</v>
      </c>
      <c r="I44" s="11" t="s">
        <v>198</v>
      </c>
      <c r="J44" s="4">
        <v>0.5</v>
      </c>
      <c r="K44" s="4">
        <v>0.75</v>
      </c>
      <c r="L44" s="4">
        <v>0.65</v>
      </c>
      <c r="M44" s="14">
        <v>184000</v>
      </c>
      <c r="N44" s="15">
        <v>185000</v>
      </c>
      <c r="O44" s="15">
        <v>184000</v>
      </c>
      <c r="P44" s="15">
        <v>750000</v>
      </c>
      <c r="Q44" s="3">
        <v>750000</v>
      </c>
      <c r="R44" s="5">
        <v>255.18883974140863</v>
      </c>
      <c r="S44" s="16">
        <v>8860</v>
      </c>
      <c r="T44" s="16">
        <v>2939</v>
      </c>
      <c r="U44" s="1">
        <v>590900</v>
      </c>
      <c r="V44" s="6">
        <v>201.05478053759782</v>
      </c>
      <c r="W44" s="23">
        <v>92000</v>
      </c>
      <c r="X44" s="23">
        <v>395500</v>
      </c>
      <c r="Y44" s="31">
        <v>487500</v>
      </c>
      <c r="Z44" s="24">
        <v>0.65</v>
      </c>
      <c r="AA44" s="24">
        <v>0.62911343399148278</v>
      </c>
      <c r="AB44" s="5">
        <v>212731.5</v>
      </c>
      <c r="AC44" s="17">
        <v>44470</v>
      </c>
      <c r="AD44" s="1">
        <v>92000</v>
      </c>
      <c r="AE44" s="1">
        <v>120731.5</v>
      </c>
      <c r="AF44" s="26">
        <v>212731.5</v>
      </c>
      <c r="AG44" s="23">
        <v>0</v>
      </c>
      <c r="AH44" s="23">
        <v>0</v>
      </c>
      <c r="AI44" s="27">
        <v>0.53500000000000003</v>
      </c>
      <c r="AJ44" s="23">
        <v>0</v>
      </c>
      <c r="AK44" s="23">
        <v>274768.5</v>
      </c>
      <c r="AL44" s="23">
        <v>274768.5</v>
      </c>
      <c r="AM44" s="2">
        <v>212731.5</v>
      </c>
      <c r="AN44" s="2"/>
      <c r="AO44" s="28">
        <v>212731.5</v>
      </c>
      <c r="AP44" s="18"/>
      <c r="AQ44" s="18">
        <v>44803</v>
      </c>
      <c r="AR44" s="18">
        <v>44827</v>
      </c>
      <c r="AS44" s="11"/>
      <c r="AT44" s="2">
        <v>885637.84761904762</v>
      </c>
      <c r="AU44" s="2">
        <v>44281.892380952384</v>
      </c>
      <c r="AV44" s="2">
        <v>929919.74</v>
      </c>
      <c r="AW44" s="2"/>
      <c r="AX44" s="14">
        <v>94812</v>
      </c>
      <c r="AY44" s="29">
        <v>0.10195718611156701</v>
      </c>
      <c r="AZ44" s="11" t="s">
        <v>275</v>
      </c>
      <c r="BA44" s="33">
        <v>1.2398929866666666</v>
      </c>
      <c r="BB44" s="19">
        <v>44448</v>
      </c>
      <c r="BC44" s="11" t="s">
        <v>276</v>
      </c>
    </row>
    <row r="45" spans="2:55" hidden="1" x14ac:dyDescent="0.3">
      <c r="B45" s="11" t="s">
        <v>277</v>
      </c>
      <c r="C45" s="12">
        <v>2110528</v>
      </c>
      <c r="D45" s="13">
        <v>2</v>
      </c>
      <c r="E45" s="13">
        <v>9</v>
      </c>
      <c r="F45" s="11" t="s">
        <v>176</v>
      </c>
      <c r="G45" s="11" t="s">
        <v>177</v>
      </c>
      <c r="H45" s="11" t="s">
        <v>178</v>
      </c>
      <c r="I45" s="11" t="s">
        <v>198</v>
      </c>
      <c r="J45" s="4">
        <v>0.6</v>
      </c>
      <c r="K45" s="4">
        <v>0.77500000000000002</v>
      </c>
      <c r="L45" s="4">
        <v>0.67500000000000004</v>
      </c>
      <c r="M45" s="14">
        <v>242500</v>
      </c>
      <c r="N45" s="15">
        <v>300000</v>
      </c>
      <c r="O45" s="15">
        <v>242500</v>
      </c>
      <c r="P45" s="15">
        <v>1060000</v>
      </c>
      <c r="Q45" s="3">
        <v>863520</v>
      </c>
      <c r="R45" s="5">
        <v>271.12087912087912</v>
      </c>
      <c r="S45" s="16">
        <v>5413.380588</v>
      </c>
      <c r="T45" s="16">
        <v>3185</v>
      </c>
      <c r="U45" s="1">
        <v>572100</v>
      </c>
      <c r="V45" s="6">
        <v>179.62323390894821</v>
      </c>
      <c r="W45" s="23">
        <v>145500</v>
      </c>
      <c r="X45" s="23">
        <v>394500</v>
      </c>
      <c r="Y45" s="31">
        <v>540000</v>
      </c>
      <c r="Z45" s="24">
        <v>0.62534741523068371</v>
      </c>
      <c r="AA45" s="24">
        <v>0.66290203780996804</v>
      </c>
      <c r="AB45" s="5">
        <v>336904.5</v>
      </c>
      <c r="AC45" s="17">
        <v>44645</v>
      </c>
      <c r="AD45" s="1">
        <v>145500</v>
      </c>
      <c r="AE45" s="1">
        <v>191404.5</v>
      </c>
      <c r="AF45" s="26">
        <v>336904.5</v>
      </c>
      <c r="AG45" s="23">
        <v>0</v>
      </c>
      <c r="AH45" s="23">
        <v>0</v>
      </c>
      <c r="AI45" s="27">
        <v>0.64500000000000002</v>
      </c>
      <c r="AJ45" s="23">
        <v>0</v>
      </c>
      <c r="AK45" s="23">
        <v>203095.5</v>
      </c>
      <c r="AL45" s="23">
        <v>203095.5</v>
      </c>
      <c r="AM45" s="2">
        <v>336904.5</v>
      </c>
      <c r="AN45" s="2"/>
      <c r="AO45" s="28">
        <v>336904.5</v>
      </c>
      <c r="AP45" s="18">
        <v>44820</v>
      </c>
      <c r="AQ45" s="18">
        <v>44831</v>
      </c>
      <c r="AR45" s="18"/>
      <c r="AS45" s="11"/>
      <c r="AT45" s="2">
        <v>822400</v>
      </c>
      <c r="AU45" s="2">
        <v>41120</v>
      </c>
      <c r="AV45" s="2">
        <v>863520</v>
      </c>
      <c r="AW45" s="2"/>
      <c r="AX45" s="14">
        <v>80500</v>
      </c>
      <c r="AY45" s="29">
        <v>9.3223086900129704E-2</v>
      </c>
      <c r="AZ45" s="11" t="s">
        <v>278</v>
      </c>
      <c r="BA45" s="33">
        <v>0.8146415094339623</v>
      </c>
      <c r="BB45" s="19">
        <v>44294</v>
      </c>
      <c r="BC45" s="11"/>
    </row>
    <row r="46" spans="2:55" hidden="1" x14ac:dyDescent="0.3">
      <c r="B46" s="11" t="s">
        <v>279</v>
      </c>
      <c r="C46" s="12">
        <v>2110528</v>
      </c>
      <c r="D46" s="13">
        <v>2</v>
      </c>
      <c r="E46" s="13">
        <v>25</v>
      </c>
      <c r="F46" s="11" t="s">
        <v>176</v>
      </c>
      <c r="G46" s="11" t="s">
        <v>177</v>
      </c>
      <c r="H46" s="11" t="s">
        <v>178</v>
      </c>
      <c r="I46" s="11" t="s">
        <v>198</v>
      </c>
      <c r="J46" s="4">
        <v>0.6</v>
      </c>
      <c r="K46" s="4">
        <v>0.77500000000000002</v>
      </c>
      <c r="L46" s="4">
        <v>0.67500000000000004</v>
      </c>
      <c r="M46" s="14">
        <v>223100</v>
      </c>
      <c r="N46" s="15">
        <v>300000</v>
      </c>
      <c r="O46" s="15">
        <v>223100</v>
      </c>
      <c r="P46" s="15">
        <v>950000</v>
      </c>
      <c r="Q46" s="3">
        <v>889899.99</v>
      </c>
      <c r="R46" s="5">
        <v>313.89770370370371</v>
      </c>
      <c r="S46" s="16">
        <v>4980.0259740000001</v>
      </c>
      <c r="T46" s="16">
        <v>2835</v>
      </c>
      <c r="U46" s="1">
        <v>503400</v>
      </c>
      <c r="V46" s="6">
        <v>177.56613756613757</v>
      </c>
      <c r="W46" s="23">
        <v>133860</v>
      </c>
      <c r="X46" s="23">
        <v>429177.5</v>
      </c>
      <c r="Y46" s="31">
        <v>563037.5</v>
      </c>
      <c r="Z46" s="24">
        <v>0.63269750121022028</v>
      </c>
      <c r="AA46" s="24">
        <v>0.77500000000000002</v>
      </c>
      <c r="AB46" s="5">
        <v>510180.5</v>
      </c>
      <c r="AC46" s="17">
        <v>44645</v>
      </c>
      <c r="AD46" s="1">
        <v>133860</v>
      </c>
      <c r="AE46" s="1">
        <v>353283</v>
      </c>
      <c r="AF46" s="26">
        <v>487143</v>
      </c>
      <c r="AG46" s="23">
        <v>0</v>
      </c>
      <c r="AH46" s="23">
        <v>23037.5</v>
      </c>
      <c r="AI46" s="27">
        <v>0.89500000000000002</v>
      </c>
      <c r="AJ46" s="23">
        <v>0</v>
      </c>
      <c r="AK46" s="23">
        <v>52856.999999999993</v>
      </c>
      <c r="AL46" s="23">
        <v>75894.5</v>
      </c>
      <c r="AM46" s="2">
        <v>487143</v>
      </c>
      <c r="AN46" s="2"/>
      <c r="AO46" s="28">
        <v>487143</v>
      </c>
      <c r="AP46" s="18">
        <v>44820</v>
      </c>
      <c r="AQ46" s="18">
        <v>44840</v>
      </c>
      <c r="AR46" s="18">
        <v>44865</v>
      </c>
      <c r="AS46" s="11"/>
      <c r="AT46" s="2">
        <v>847523.79999999993</v>
      </c>
      <c r="AU46" s="2">
        <v>42376.190000000061</v>
      </c>
      <c r="AV46" s="2">
        <v>889899.99</v>
      </c>
      <c r="AW46" s="2"/>
      <c r="AX46" s="14">
        <v>90000</v>
      </c>
      <c r="AY46" s="29">
        <v>0.10113496012063108</v>
      </c>
      <c r="AZ46" s="11" t="s">
        <v>280</v>
      </c>
      <c r="BA46" s="33">
        <v>0.93673683157894738</v>
      </c>
      <c r="BB46" s="19">
        <v>44322</v>
      </c>
      <c r="BC46" s="11"/>
    </row>
    <row r="47" spans="2:55" hidden="1" x14ac:dyDescent="0.3">
      <c r="B47" s="11" t="s">
        <v>281</v>
      </c>
      <c r="C47" s="12">
        <v>2110528</v>
      </c>
      <c r="D47" s="13">
        <v>2</v>
      </c>
      <c r="E47" s="13">
        <v>10</v>
      </c>
      <c r="F47" s="11" t="s">
        <v>176</v>
      </c>
      <c r="G47" s="11" t="s">
        <v>177</v>
      </c>
      <c r="H47" s="11" t="s">
        <v>178</v>
      </c>
      <c r="I47" s="11" t="s">
        <v>198</v>
      </c>
      <c r="J47" s="4">
        <v>0.6</v>
      </c>
      <c r="K47" s="4">
        <v>0.77500000000000002</v>
      </c>
      <c r="L47" s="4">
        <v>0.67500000000000004</v>
      </c>
      <c r="M47" s="14">
        <v>223100</v>
      </c>
      <c r="N47" s="15">
        <v>300000</v>
      </c>
      <c r="O47" s="15">
        <v>223100</v>
      </c>
      <c r="P47" s="15">
        <v>1070000</v>
      </c>
      <c r="Q47" s="3">
        <v>976002.3</v>
      </c>
      <c r="R47" s="5">
        <v>309.64539974619294</v>
      </c>
      <c r="S47" s="16">
        <v>4980.0259740000001</v>
      </c>
      <c r="T47" s="16">
        <v>3152</v>
      </c>
      <c r="U47" s="1">
        <v>651100</v>
      </c>
      <c r="V47" s="6">
        <v>206.56725888324874</v>
      </c>
      <c r="W47" s="23">
        <v>133860</v>
      </c>
      <c r="X47" s="23">
        <v>473640</v>
      </c>
      <c r="Y47" s="31">
        <v>607500</v>
      </c>
      <c r="Z47" s="24">
        <v>0.62243705778152369</v>
      </c>
      <c r="AA47" s="24">
        <v>0.69492107069320519</v>
      </c>
      <c r="AB47" s="5">
        <v>607500</v>
      </c>
      <c r="AC47" s="17">
        <v>44645</v>
      </c>
      <c r="AD47" s="1">
        <v>133860</v>
      </c>
      <c r="AE47" s="1">
        <v>473640</v>
      </c>
      <c r="AF47" s="26">
        <v>607500</v>
      </c>
      <c r="AG47" s="23">
        <v>0</v>
      </c>
      <c r="AH47" s="23">
        <v>0</v>
      </c>
      <c r="AI47" s="27">
        <v>1</v>
      </c>
      <c r="AJ47" s="23">
        <v>0</v>
      </c>
      <c r="AK47" s="23">
        <v>0</v>
      </c>
      <c r="AL47" s="23">
        <v>0</v>
      </c>
      <c r="AM47" s="2">
        <v>607500</v>
      </c>
      <c r="AN47" s="2"/>
      <c r="AO47" s="28">
        <v>607500</v>
      </c>
      <c r="AP47" s="18">
        <v>44949</v>
      </c>
      <c r="AQ47" s="18">
        <v>44959</v>
      </c>
      <c r="AR47" s="18">
        <v>44991</v>
      </c>
      <c r="AS47" s="11"/>
      <c r="AT47" s="2">
        <v>929526</v>
      </c>
      <c r="AU47" s="2">
        <v>46476.300000000047</v>
      </c>
      <c r="AV47" s="2">
        <v>976002.3</v>
      </c>
      <c r="AW47" s="2"/>
      <c r="AX47" s="14">
        <v>120427.5</v>
      </c>
      <c r="AY47" s="29">
        <v>0.12338854119503612</v>
      </c>
      <c r="AZ47" s="11" t="s">
        <v>282</v>
      </c>
      <c r="BA47" s="33">
        <v>0.9121516822429907</v>
      </c>
      <c r="BB47" s="19">
        <v>44397</v>
      </c>
      <c r="BC47" s="11"/>
    </row>
    <row r="48" spans="2:55" hidden="1" x14ac:dyDescent="0.3">
      <c r="B48" s="11" t="s">
        <v>283</v>
      </c>
      <c r="C48" s="12">
        <v>2110528</v>
      </c>
      <c r="D48" s="13">
        <v>6</v>
      </c>
      <c r="E48" s="13">
        <v>21</v>
      </c>
      <c r="F48" s="11" t="s">
        <v>176</v>
      </c>
      <c r="G48" s="11" t="s">
        <v>177</v>
      </c>
      <c r="H48" s="11" t="s">
        <v>178</v>
      </c>
      <c r="I48" s="11" t="s">
        <v>198</v>
      </c>
      <c r="J48" s="4">
        <v>0.6</v>
      </c>
      <c r="K48" s="4">
        <v>0.77500000000000002</v>
      </c>
      <c r="L48" s="4">
        <v>0.67500000000000004</v>
      </c>
      <c r="M48" s="14">
        <v>191250</v>
      </c>
      <c r="N48" s="15">
        <v>300000</v>
      </c>
      <c r="O48" s="15">
        <v>191250</v>
      </c>
      <c r="P48" s="15">
        <v>785000</v>
      </c>
      <c r="Q48" s="3">
        <v>700000</v>
      </c>
      <c r="R48" s="5">
        <v>291.54518950437318</v>
      </c>
      <c r="S48" s="16">
        <v>5184.5400740000005</v>
      </c>
      <c r="T48" s="16">
        <v>2401</v>
      </c>
      <c r="U48" s="1">
        <v>423100</v>
      </c>
      <c r="V48" s="6">
        <v>176.21824239900042</v>
      </c>
      <c r="W48" s="23">
        <v>114750</v>
      </c>
      <c r="X48" s="23">
        <v>357750.00000000006</v>
      </c>
      <c r="Y48" s="31">
        <v>472500.00000000006</v>
      </c>
      <c r="Z48" s="24">
        <v>0.67500000000000004</v>
      </c>
      <c r="AA48" s="24">
        <v>0.76910555872059905</v>
      </c>
      <c r="AB48" s="5">
        <v>375187</v>
      </c>
      <c r="AC48" s="17">
        <v>44645</v>
      </c>
      <c r="AD48" s="1">
        <v>114750</v>
      </c>
      <c r="AE48" s="1">
        <v>260437</v>
      </c>
      <c r="AF48" s="26">
        <v>375187</v>
      </c>
      <c r="AG48" s="23">
        <v>0</v>
      </c>
      <c r="AH48" s="23">
        <v>0</v>
      </c>
      <c r="AI48" s="27">
        <v>0.77</v>
      </c>
      <c r="AJ48" s="23">
        <v>0</v>
      </c>
      <c r="AK48" s="23">
        <v>97312.999999999985</v>
      </c>
      <c r="AL48" s="23">
        <v>97313.000000000058</v>
      </c>
      <c r="AM48" s="2">
        <v>375187</v>
      </c>
      <c r="AN48" s="2"/>
      <c r="AO48" s="28">
        <v>375187</v>
      </c>
      <c r="AP48" s="18">
        <v>44949</v>
      </c>
      <c r="AQ48" s="18">
        <v>44960</v>
      </c>
      <c r="AR48" s="18"/>
      <c r="AS48" s="11"/>
      <c r="AT48" s="2">
        <v>666666.66666666663</v>
      </c>
      <c r="AU48" s="2">
        <v>33333.333333333372</v>
      </c>
      <c r="AV48" s="2">
        <v>700000</v>
      </c>
      <c r="AW48" s="2"/>
      <c r="AX48" s="14">
        <v>69000</v>
      </c>
      <c r="AY48" s="29">
        <v>9.8571428571428574E-2</v>
      </c>
      <c r="AZ48" s="11" t="s">
        <v>284</v>
      </c>
      <c r="BA48" s="33">
        <v>0.89171974522292996</v>
      </c>
      <c r="BB48" s="19">
        <v>44481</v>
      </c>
      <c r="BC48" s="11"/>
    </row>
    <row r="49" spans="2:55" hidden="1" x14ac:dyDescent="0.3">
      <c r="B49" s="11" t="s">
        <v>285</v>
      </c>
      <c r="C49" s="12" t="s">
        <v>286</v>
      </c>
      <c r="D49" s="13">
        <v>10</v>
      </c>
      <c r="E49" s="13">
        <v>7</v>
      </c>
      <c r="F49" s="11" t="s">
        <v>203</v>
      </c>
      <c r="G49" s="11" t="s">
        <v>177</v>
      </c>
      <c r="H49" s="11" t="s">
        <v>178</v>
      </c>
      <c r="I49" s="11" t="s">
        <v>198</v>
      </c>
      <c r="J49" s="4">
        <v>0.5</v>
      </c>
      <c r="K49" s="4">
        <v>0.72499999999999998</v>
      </c>
      <c r="L49" s="4">
        <v>0.625</v>
      </c>
      <c r="M49" s="14">
        <v>85000</v>
      </c>
      <c r="N49" s="15">
        <v>85000</v>
      </c>
      <c r="O49" s="15">
        <v>85000</v>
      </c>
      <c r="P49" s="15">
        <v>605000</v>
      </c>
      <c r="Q49" s="3">
        <v>605000</v>
      </c>
      <c r="R49" s="5">
        <v>344.72934472934475</v>
      </c>
      <c r="S49" s="16">
        <v>9314</v>
      </c>
      <c r="T49" s="16">
        <v>1755</v>
      </c>
      <c r="U49" s="1">
        <v>491900</v>
      </c>
      <c r="V49" s="6">
        <v>280.28490028490029</v>
      </c>
      <c r="W49" s="23">
        <v>42500</v>
      </c>
      <c r="X49" s="23">
        <v>332500</v>
      </c>
      <c r="Y49" s="31">
        <v>375000</v>
      </c>
      <c r="Z49" s="24">
        <v>0.6198347107438017</v>
      </c>
      <c r="AA49" s="24">
        <v>0.6500260010400416</v>
      </c>
      <c r="AB49" s="5">
        <v>345486</v>
      </c>
      <c r="AC49" s="17">
        <v>44470</v>
      </c>
      <c r="AD49" s="1">
        <v>42500</v>
      </c>
      <c r="AE49" s="1">
        <v>302986</v>
      </c>
      <c r="AF49" s="26">
        <v>345486</v>
      </c>
      <c r="AG49" s="23">
        <v>0</v>
      </c>
      <c r="AH49" s="23">
        <v>0</v>
      </c>
      <c r="AI49" s="27">
        <v>0.94</v>
      </c>
      <c r="AJ49" s="23">
        <v>0</v>
      </c>
      <c r="AK49" s="23">
        <v>29514.000000000025</v>
      </c>
      <c r="AL49" s="23">
        <v>29514</v>
      </c>
      <c r="AM49" s="2">
        <v>345486</v>
      </c>
      <c r="AN49" s="2"/>
      <c r="AO49" s="28">
        <v>345486</v>
      </c>
      <c r="AP49" s="18">
        <v>44973</v>
      </c>
      <c r="AQ49" s="18">
        <v>44980</v>
      </c>
      <c r="AR49" s="18">
        <v>45014</v>
      </c>
      <c r="AS49" s="11"/>
      <c r="AT49" s="2">
        <v>576200</v>
      </c>
      <c r="AU49" s="2">
        <v>28810</v>
      </c>
      <c r="AV49" s="2">
        <v>605010</v>
      </c>
      <c r="AW49" s="2">
        <v>46616.88</v>
      </c>
      <c r="AX49" s="14">
        <v>60501</v>
      </c>
      <c r="AY49" s="29">
        <v>0.1</v>
      </c>
      <c r="AZ49" s="11" t="s">
        <v>287</v>
      </c>
      <c r="BA49" s="33">
        <v>1.0000165289256198</v>
      </c>
      <c r="BB49" s="19">
        <v>44266</v>
      </c>
      <c r="BC49" s="11"/>
    </row>
    <row r="50" spans="2:55" hidden="1" x14ac:dyDescent="0.3">
      <c r="B50" s="11" t="s">
        <v>288</v>
      </c>
      <c r="C50" s="12">
        <v>2110528</v>
      </c>
      <c r="D50" s="13">
        <v>2</v>
      </c>
      <c r="E50" s="13">
        <v>11</v>
      </c>
      <c r="F50" s="11" t="s">
        <v>176</v>
      </c>
      <c r="G50" s="11" t="s">
        <v>177</v>
      </c>
      <c r="H50" s="11" t="s">
        <v>178</v>
      </c>
      <c r="I50" s="11" t="s">
        <v>198</v>
      </c>
      <c r="J50" s="4">
        <v>0.6</v>
      </c>
      <c r="K50" s="4">
        <v>0.77500000000000002</v>
      </c>
      <c r="L50" s="4">
        <v>0.67500000000000004</v>
      </c>
      <c r="M50" s="14">
        <v>223100</v>
      </c>
      <c r="N50" s="15">
        <v>300000</v>
      </c>
      <c r="O50" s="15">
        <v>223100</v>
      </c>
      <c r="P50" s="15">
        <v>1050000</v>
      </c>
      <c r="Q50" s="3">
        <v>952776.25</v>
      </c>
      <c r="R50" s="5">
        <v>313.10425566874795</v>
      </c>
      <c r="S50" s="16">
        <v>4980.0259740000001</v>
      </c>
      <c r="T50" s="16">
        <v>3043</v>
      </c>
      <c r="U50" s="1">
        <v>652100</v>
      </c>
      <c r="V50" s="6">
        <v>214.29510351626683</v>
      </c>
      <c r="W50" s="23">
        <v>133860</v>
      </c>
      <c r="X50" s="23">
        <v>473640</v>
      </c>
      <c r="Y50" s="31">
        <v>607500</v>
      </c>
      <c r="Z50" s="24">
        <v>0.63761035185333392</v>
      </c>
      <c r="AA50" s="24">
        <v>0.69412705667276053</v>
      </c>
      <c r="AB50" s="5">
        <v>574895</v>
      </c>
      <c r="AC50" s="17">
        <v>44645</v>
      </c>
      <c r="AD50" s="1">
        <v>133860</v>
      </c>
      <c r="AE50" s="1">
        <v>441035</v>
      </c>
      <c r="AF50" s="26">
        <v>574895</v>
      </c>
      <c r="AG50" s="23">
        <v>0</v>
      </c>
      <c r="AH50" s="23">
        <v>0</v>
      </c>
      <c r="AI50" s="27">
        <v>0.95</v>
      </c>
      <c r="AJ50" s="23">
        <v>0</v>
      </c>
      <c r="AK50" s="23">
        <v>32605.000000000029</v>
      </c>
      <c r="AL50" s="23">
        <v>32605</v>
      </c>
      <c r="AM50" s="2">
        <v>574895</v>
      </c>
      <c r="AN50" s="2"/>
      <c r="AO50" s="28">
        <v>574895</v>
      </c>
      <c r="AP50" s="18">
        <v>44985</v>
      </c>
      <c r="AQ50" s="18">
        <v>44986</v>
      </c>
      <c r="AR50" s="18">
        <v>45019</v>
      </c>
      <c r="AS50" s="11"/>
      <c r="AT50" s="2">
        <v>907405.95238095231</v>
      </c>
      <c r="AU50" s="2">
        <v>45370.297619047691</v>
      </c>
      <c r="AV50" s="2">
        <v>952776.25</v>
      </c>
      <c r="AW50" s="2"/>
      <c r="AX50" s="14">
        <v>100000</v>
      </c>
      <c r="AY50" s="29">
        <v>0.1049564365190673</v>
      </c>
      <c r="AZ50" s="11" t="s">
        <v>289</v>
      </c>
      <c r="BA50" s="33">
        <v>0.90740595238095234</v>
      </c>
      <c r="BB50" s="19">
        <v>44546</v>
      </c>
      <c r="BC50" s="11"/>
    </row>
    <row r="51" spans="2:55" hidden="1" x14ac:dyDescent="0.3">
      <c r="B51" s="11" t="s">
        <v>290</v>
      </c>
      <c r="C51" s="12">
        <v>2110528</v>
      </c>
      <c r="D51" s="13">
        <v>2</v>
      </c>
      <c r="E51" s="13">
        <v>6</v>
      </c>
      <c r="F51" s="11" t="s">
        <v>176</v>
      </c>
      <c r="G51" s="11" t="s">
        <v>177</v>
      </c>
      <c r="H51" s="11" t="s">
        <v>178</v>
      </c>
      <c r="I51" s="11" t="s">
        <v>198</v>
      </c>
      <c r="J51" s="4">
        <v>0.6</v>
      </c>
      <c r="K51" s="4">
        <v>0.77500000000000002</v>
      </c>
      <c r="L51" s="4">
        <v>0.67500000000000004</v>
      </c>
      <c r="M51" s="14">
        <v>239900</v>
      </c>
      <c r="N51" s="15">
        <v>250000</v>
      </c>
      <c r="O51" s="15">
        <v>239900</v>
      </c>
      <c r="P51" s="15">
        <v>860000</v>
      </c>
      <c r="Q51" s="3">
        <v>849999.99</v>
      </c>
      <c r="R51" s="5">
        <v>276.33289661898567</v>
      </c>
      <c r="S51" s="16">
        <v>5413</v>
      </c>
      <c r="T51" s="16">
        <v>3076</v>
      </c>
      <c r="U51" s="1">
        <v>435000</v>
      </c>
      <c r="V51" s="6">
        <v>141.41742522756826</v>
      </c>
      <c r="W51" s="23">
        <v>143940</v>
      </c>
      <c r="X51" s="23">
        <v>379107.5</v>
      </c>
      <c r="Y51" s="31">
        <v>523047.5</v>
      </c>
      <c r="Z51" s="24">
        <v>0.61535000723941191</v>
      </c>
      <c r="AA51" s="24">
        <v>0.77500000000000002</v>
      </c>
      <c r="AB51" s="5">
        <v>496947.5</v>
      </c>
      <c r="AC51" s="17">
        <v>44582</v>
      </c>
      <c r="AD51" s="1">
        <v>143940</v>
      </c>
      <c r="AE51" s="1">
        <v>353007.5</v>
      </c>
      <c r="AF51" s="26">
        <v>496947.5</v>
      </c>
      <c r="AG51" s="23">
        <v>0</v>
      </c>
      <c r="AH51" s="23">
        <v>0</v>
      </c>
      <c r="AI51" s="27">
        <v>0.94</v>
      </c>
      <c r="AJ51" s="23">
        <v>0</v>
      </c>
      <c r="AK51" s="23">
        <v>26100.000000000022</v>
      </c>
      <c r="AL51" s="23">
        <v>26100</v>
      </c>
      <c r="AM51" s="2">
        <v>496947.5</v>
      </c>
      <c r="AN51" s="2"/>
      <c r="AO51" s="28">
        <v>496947.5</v>
      </c>
      <c r="AP51" s="18">
        <v>45022</v>
      </c>
      <c r="AQ51" s="18">
        <v>45029</v>
      </c>
      <c r="AR51" s="18"/>
      <c r="AS51" s="11"/>
      <c r="AT51" s="2">
        <v>809523.79999999993</v>
      </c>
      <c r="AU51" s="2">
        <v>40476.190000000061</v>
      </c>
      <c r="AV51" s="2">
        <v>849999.99</v>
      </c>
      <c r="AW51" s="2"/>
      <c r="AX51" s="14">
        <v>85000</v>
      </c>
      <c r="AY51" s="29">
        <v>0.10000000117647061</v>
      </c>
      <c r="AZ51" s="11" t="s">
        <v>291</v>
      </c>
      <c r="BA51" s="33">
        <v>0.98837208139534882</v>
      </c>
      <c r="BB51" s="19">
        <v>44168</v>
      </c>
      <c r="BC51" s="11"/>
    </row>
    <row r="52" spans="2:55" hidden="1" x14ac:dyDescent="0.3">
      <c r="B52" s="11" t="s">
        <v>292</v>
      </c>
      <c r="C52" s="12">
        <v>2110528</v>
      </c>
      <c r="D52" s="13">
        <v>2</v>
      </c>
      <c r="E52" s="13">
        <v>17</v>
      </c>
      <c r="F52" s="11" t="s">
        <v>176</v>
      </c>
      <c r="G52" s="11" t="s">
        <v>177</v>
      </c>
      <c r="H52" s="11" t="s">
        <v>178</v>
      </c>
      <c r="I52" s="11" t="s">
        <v>198</v>
      </c>
      <c r="J52" s="4">
        <v>0.6</v>
      </c>
      <c r="K52" s="4">
        <v>0.77500000000000002</v>
      </c>
      <c r="L52" s="4">
        <v>0.67500000000000004</v>
      </c>
      <c r="M52" s="14">
        <v>218250</v>
      </c>
      <c r="N52" s="15">
        <v>300000</v>
      </c>
      <c r="O52" s="15">
        <v>218250</v>
      </c>
      <c r="P52" s="15">
        <v>990000</v>
      </c>
      <c r="Q52" s="3">
        <v>968210.25</v>
      </c>
      <c r="R52" s="5">
        <v>307.07588011417698</v>
      </c>
      <c r="S52" s="16">
        <v>4886.8105999999998</v>
      </c>
      <c r="T52" s="16">
        <v>3153</v>
      </c>
      <c r="U52" s="1">
        <v>537600</v>
      </c>
      <c r="V52" s="6">
        <v>170.50428163653663</v>
      </c>
      <c r="W52" s="23">
        <v>130950</v>
      </c>
      <c r="X52" s="23">
        <v>454833.75</v>
      </c>
      <c r="Y52" s="31">
        <v>585783.75</v>
      </c>
      <c r="Z52" s="24">
        <v>0.60501709210370369</v>
      </c>
      <c r="AA52" s="24">
        <v>0.77500000000000002</v>
      </c>
      <c r="AB52" s="5">
        <v>545463.75</v>
      </c>
      <c r="AC52" s="17">
        <v>44645</v>
      </c>
      <c r="AD52" s="1">
        <v>130950</v>
      </c>
      <c r="AE52" s="1">
        <v>414513.75</v>
      </c>
      <c r="AF52" s="26">
        <v>545463.75</v>
      </c>
      <c r="AG52" s="23">
        <v>0</v>
      </c>
      <c r="AH52" s="23">
        <v>0</v>
      </c>
      <c r="AI52" s="27">
        <v>0.92500000000000004</v>
      </c>
      <c r="AJ52" s="23">
        <v>0</v>
      </c>
      <c r="AK52" s="23">
        <v>40319.999999999978</v>
      </c>
      <c r="AL52" s="23">
        <v>40320</v>
      </c>
      <c r="AM52" s="2">
        <v>545463.75</v>
      </c>
      <c r="AN52" s="2"/>
      <c r="AO52" s="28">
        <v>545463.75</v>
      </c>
      <c r="AP52" s="18">
        <v>45063</v>
      </c>
      <c r="AQ52" s="18">
        <v>45089</v>
      </c>
      <c r="AR52" s="18">
        <v>45117</v>
      </c>
      <c r="AS52" s="11"/>
      <c r="AT52" s="2">
        <v>922105</v>
      </c>
      <c r="AU52" s="2">
        <v>46105.25</v>
      </c>
      <c r="AV52" s="2">
        <v>968210.25</v>
      </c>
      <c r="AW52" s="2"/>
      <c r="AX52" s="14">
        <v>80410.510000000009</v>
      </c>
      <c r="AY52" s="29">
        <v>8.3050670037835284E-2</v>
      </c>
      <c r="AZ52" s="11" t="s">
        <v>293</v>
      </c>
      <c r="BA52" s="33">
        <v>0.97799015151515156</v>
      </c>
      <c r="BB52" s="19">
        <v>44506</v>
      </c>
      <c r="BC52" s="11"/>
    </row>
    <row r="53" spans="2:55" hidden="1" x14ac:dyDescent="0.3">
      <c r="B53" s="11" t="s">
        <v>294</v>
      </c>
      <c r="C53" s="12">
        <v>2110528</v>
      </c>
      <c r="D53" s="13">
        <v>2</v>
      </c>
      <c r="E53" s="13">
        <v>19</v>
      </c>
      <c r="F53" s="11" t="s">
        <v>176</v>
      </c>
      <c r="G53" s="11" t="s">
        <v>177</v>
      </c>
      <c r="H53" s="11" t="s">
        <v>178</v>
      </c>
      <c r="I53" s="11" t="s">
        <v>198</v>
      </c>
      <c r="J53" s="4">
        <v>0.6</v>
      </c>
      <c r="K53" s="4">
        <v>0.77500000000000002</v>
      </c>
      <c r="L53" s="4">
        <v>0.67500000000000004</v>
      </c>
      <c r="M53" s="14">
        <v>215910</v>
      </c>
      <c r="N53" s="15">
        <v>300000</v>
      </c>
      <c r="O53" s="15">
        <v>215910</v>
      </c>
      <c r="P53" s="15">
        <v>990000</v>
      </c>
      <c r="Q53" s="3">
        <v>940825.2</v>
      </c>
      <c r="R53" s="5">
        <v>296.41625708884686</v>
      </c>
      <c r="S53" s="16">
        <v>4898.3279729999995</v>
      </c>
      <c r="T53" s="16">
        <v>3174</v>
      </c>
      <c r="U53" s="1">
        <v>531600</v>
      </c>
      <c r="V53" s="6">
        <v>167.48582230623819</v>
      </c>
      <c r="W53" s="23">
        <v>129546</v>
      </c>
      <c r="X53" s="23">
        <v>449774.25</v>
      </c>
      <c r="Y53" s="31">
        <v>579320.25</v>
      </c>
      <c r="Z53" s="24">
        <v>0.61575758174844808</v>
      </c>
      <c r="AA53" s="24">
        <v>0.77500000000000002</v>
      </c>
      <c r="AB53" s="5">
        <v>579320.25</v>
      </c>
      <c r="AC53" s="17">
        <v>44645</v>
      </c>
      <c r="AD53" s="1">
        <v>129546</v>
      </c>
      <c r="AE53" s="1">
        <v>449774.25000000006</v>
      </c>
      <c r="AF53" s="26">
        <v>579320.25</v>
      </c>
      <c r="AG53" s="23">
        <v>0</v>
      </c>
      <c r="AH53" s="23">
        <v>0</v>
      </c>
      <c r="AI53" s="27">
        <v>1</v>
      </c>
      <c r="AJ53" s="23">
        <v>0</v>
      </c>
      <c r="AK53" s="23">
        <v>0</v>
      </c>
      <c r="AL53" s="23">
        <v>0</v>
      </c>
      <c r="AM53" s="2">
        <v>579320.25</v>
      </c>
      <c r="AN53" s="2"/>
      <c r="AO53" s="28">
        <v>579320.25</v>
      </c>
      <c r="AP53" s="18">
        <v>45089</v>
      </c>
      <c r="AQ53" s="18">
        <v>45096</v>
      </c>
      <c r="AR53" s="18">
        <v>45131</v>
      </c>
      <c r="AS53" s="11"/>
      <c r="AT53" s="2">
        <v>896023.99999999988</v>
      </c>
      <c r="AU53" s="2">
        <v>44801.20000000007</v>
      </c>
      <c r="AV53" s="2">
        <v>940825.2</v>
      </c>
      <c r="AW53" s="2"/>
      <c r="AX53" s="14">
        <v>185000</v>
      </c>
      <c r="AY53" s="29">
        <v>0.19663588942983246</v>
      </c>
      <c r="AZ53" s="11" t="s">
        <v>295</v>
      </c>
      <c r="BA53" s="33">
        <v>0.95032848484848476</v>
      </c>
      <c r="BB53" s="19">
        <v>44507</v>
      </c>
      <c r="BC53" s="11"/>
    </row>
    <row r="54" spans="2:55" hidden="1" x14ac:dyDescent="0.3">
      <c r="B54" s="11" t="s">
        <v>296</v>
      </c>
      <c r="C54" s="12">
        <v>2210618</v>
      </c>
      <c r="D54" s="13">
        <v>2</v>
      </c>
      <c r="E54" s="13">
        <v>31</v>
      </c>
      <c r="F54" s="11" t="s">
        <v>176</v>
      </c>
      <c r="G54" s="11" t="s">
        <v>177</v>
      </c>
      <c r="H54" s="11" t="s">
        <v>178</v>
      </c>
      <c r="I54" s="11" t="s">
        <v>198</v>
      </c>
      <c r="J54" s="4">
        <v>0.6</v>
      </c>
      <c r="K54" s="4">
        <v>0.77500000000000002</v>
      </c>
      <c r="L54" s="4">
        <v>0.67500000000000004</v>
      </c>
      <c r="M54" s="14">
        <v>245000</v>
      </c>
      <c r="N54" s="15">
        <v>300000</v>
      </c>
      <c r="O54" s="15">
        <v>245000</v>
      </c>
      <c r="P54" s="15">
        <v>915000</v>
      </c>
      <c r="Q54" s="3">
        <v>906885</v>
      </c>
      <c r="R54" s="5">
        <v>322.73487544483987</v>
      </c>
      <c r="S54" s="16">
        <v>4886.8105999999998</v>
      </c>
      <c r="T54" s="16">
        <v>2810</v>
      </c>
      <c r="U54" s="1">
        <v>507600</v>
      </c>
      <c r="V54" s="6">
        <v>180.64056939501779</v>
      </c>
      <c r="W54" s="23">
        <v>147000</v>
      </c>
      <c r="X54" s="23">
        <v>436265</v>
      </c>
      <c r="Y54" s="31">
        <v>583265</v>
      </c>
      <c r="Z54" s="24">
        <v>0.6431521085914973</v>
      </c>
      <c r="AA54" s="24">
        <v>0.77500000000000002</v>
      </c>
      <c r="AB54" s="5">
        <v>532505</v>
      </c>
      <c r="AC54" s="17">
        <v>44886</v>
      </c>
      <c r="AD54" s="1">
        <v>147000</v>
      </c>
      <c r="AE54" s="1">
        <v>385505</v>
      </c>
      <c r="AF54" s="26">
        <v>532505</v>
      </c>
      <c r="AG54" s="23">
        <v>0</v>
      </c>
      <c r="AH54" s="23">
        <v>0</v>
      </c>
      <c r="AI54" s="27">
        <v>0.9</v>
      </c>
      <c r="AJ54" s="23">
        <v>0</v>
      </c>
      <c r="AK54" s="23">
        <v>50759.999999999985</v>
      </c>
      <c r="AL54" s="23">
        <v>50760</v>
      </c>
      <c r="AM54" s="2">
        <v>532505</v>
      </c>
      <c r="AN54" s="2"/>
      <c r="AO54" s="28">
        <v>532505</v>
      </c>
      <c r="AP54" s="18">
        <v>45097</v>
      </c>
      <c r="AQ54" s="18">
        <v>45103</v>
      </c>
      <c r="AR54" s="18">
        <v>45131</v>
      </c>
      <c r="AS54" s="11"/>
      <c r="AT54" s="2">
        <v>863700</v>
      </c>
      <c r="AU54" s="2">
        <v>43185</v>
      </c>
      <c r="AV54" s="2">
        <v>906885</v>
      </c>
      <c r="AW54" s="2"/>
      <c r="AX54" s="14">
        <v>45350</v>
      </c>
      <c r="AY54" s="29">
        <v>5.0006340384944066E-2</v>
      </c>
      <c r="AZ54" s="11" t="s">
        <v>297</v>
      </c>
      <c r="BA54" s="33">
        <v>0.99113114754098364</v>
      </c>
      <c r="BB54" s="19">
        <v>44511</v>
      </c>
      <c r="BC54" s="11" t="s">
        <v>298</v>
      </c>
    </row>
    <row r="55" spans="2:55" hidden="1" x14ac:dyDescent="0.3">
      <c r="B55" s="11" t="s">
        <v>299</v>
      </c>
      <c r="C55" s="12">
        <v>2012107</v>
      </c>
      <c r="D55" s="13">
        <v>8</v>
      </c>
      <c r="E55" s="13">
        <v>9</v>
      </c>
      <c r="F55" s="11" t="s">
        <v>176</v>
      </c>
      <c r="G55" s="11" t="s">
        <v>177</v>
      </c>
      <c r="H55" s="11" t="s">
        <v>178</v>
      </c>
      <c r="I55" s="11" t="s">
        <v>198</v>
      </c>
      <c r="J55" s="4">
        <v>0.6</v>
      </c>
      <c r="K55" s="4">
        <v>0.77500000000000002</v>
      </c>
      <c r="L55" s="4">
        <v>0.67500000000000004</v>
      </c>
      <c r="M55" s="14">
        <v>232900</v>
      </c>
      <c r="N55" s="15">
        <v>275000</v>
      </c>
      <c r="O55" s="15">
        <v>232900</v>
      </c>
      <c r="P55" s="15">
        <v>900000</v>
      </c>
      <c r="Q55" s="3">
        <v>895156.5</v>
      </c>
      <c r="R55" s="5">
        <v>358.3492794235388</v>
      </c>
      <c r="S55" s="16">
        <v>5620.9085800000003</v>
      </c>
      <c r="T55" s="16">
        <v>2498</v>
      </c>
      <c r="U55" s="1">
        <v>509900</v>
      </c>
      <c r="V55" s="6">
        <v>204.12329863891114</v>
      </c>
      <c r="W55" s="23">
        <v>139740</v>
      </c>
      <c r="X55" s="23">
        <v>435930</v>
      </c>
      <c r="Y55" s="31">
        <v>575670</v>
      </c>
      <c r="Z55" s="24">
        <v>0.64309425223410654</v>
      </c>
      <c r="AA55" s="24">
        <v>0.77500000000000002</v>
      </c>
      <c r="AB55" s="5">
        <v>463492</v>
      </c>
      <c r="AC55" s="17">
        <v>44939</v>
      </c>
      <c r="AD55" s="1">
        <v>139740</v>
      </c>
      <c r="AE55" s="1">
        <v>323752</v>
      </c>
      <c r="AF55" s="26">
        <v>463492</v>
      </c>
      <c r="AG55" s="23">
        <v>0</v>
      </c>
      <c r="AH55" s="23">
        <v>0</v>
      </c>
      <c r="AI55" s="27">
        <v>0.78</v>
      </c>
      <c r="AJ55" s="23">
        <v>0</v>
      </c>
      <c r="AK55" s="23">
        <v>112177.99999999999</v>
      </c>
      <c r="AL55" s="23">
        <v>112178</v>
      </c>
      <c r="AM55" s="2">
        <v>463492</v>
      </c>
      <c r="AN55" s="2"/>
      <c r="AO55" s="28">
        <v>463492</v>
      </c>
      <c r="AP55" s="18">
        <v>45098</v>
      </c>
      <c r="AQ55" s="18">
        <v>45107</v>
      </c>
      <c r="AR55" s="18">
        <v>45131</v>
      </c>
      <c r="AS55" s="11"/>
      <c r="AT55" s="2">
        <v>852530</v>
      </c>
      <c r="AU55" s="2">
        <v>42626.5</v>
      </c>
      <c r="AV55" s="2">
        <v>895156.5</v>
      </c>
      <c r="AW55" s="2"/>
      <c r="AX55" s="14">
        <v>88547.66</v>
      </c>
      <c r="AY55" s="29">
        <v>9.8918636015043179E-2</v>
      </c>
      <c r="AZ55" s="11" t="s">
        <v>300</v>
      </c>
      <c r="BA55" s="33">
        <v>0.99461833333333338</v>
      </c>
      <c r="BB55" s="19">
        <v>44553</v>
      </c>
      <c r="BC55" s="11"/>
    </row>
    <row r="56" spans="2:55" hidden="1" x14ac:dyDescent="0.3">
      <c r="B56" s="11" t="s">
        <v>301</v>
      </c>
      <c r="C56" s="12">
        <v>2210618</v>
      </c>
      <c r="D56" s="13">
        <v>2</v>
      </c>
      <c r="E56" s="13">
        <v>33</v>
      </c>
      <c r="F56" s="11" t="s">
        <v>176</v>
      </c>
      <c r="G56" s="11" t="s">
        <v>177</v>
      </c>
      <c r="H56" s="11" t="s">
        <v>178</v>
      </c>
      <c r="I56" s="11" t="s">
        <v>198</v>
      </c>
      <c r="J56" s="4">
        <v>0.6</v>
      </c>
      <c r="K56" s="4">
        <v>0.77500000000000002</v>
      </c>
      <c r="L56" s="4">
        <v>0.67500000000000004</v>
      </c>
      <c r="M56" s="14">
        <v>272000</v>
      </c>
      <c r="N56" s="15">
        <v>300000</v>
      </c>
      <c r="O56" s="15">
        <v>272000</v>
      </c>
      <c r="P56" s="15">
        <v>960000</v>
      </c>
      <c r="Q56" s="3">
        <v>954975</v>
      </c>
      <c r="R56" s="5">
        <v>303.93857415658817</v>
      </c>
      <c r="S56" s="16">
        <v>5413.1653099999994</v>
      </c>
      <c r="T56" s="16">
        <v>3142</v>
      </c>
      <c r="U56" s="1">
        <v>540600</v>
      </c>
      <c r="V56" s="6">
        <v>172.0560152768937</v>
      </c>
      <c r="W56" s="23">
        <v>163200</v>
      </c>
      <c r="X56" s="23">
        <v>444300</v>
      </c>
      <c r="Y56" s="31">
        <v>607500</v>
      </c>
      <c r="Z56" s="24">
        <v>0.6361423073902458</v>
      </c>
      <c r="AA56" s="24">
        <v>0.74760029534826478</v>
      </c>
      <c r="AB56" s="5">
        <v>580470</v>
      </c>
      <c r="AC56" s="17">
        <v>44886</v>
      </c>
      <c r="AD56" s="1">
        <v>163200</v>
      </c>
      <c r="AE56" s="1">
        <v>417270.00000000006</v>
      </c>
      <c r="AF56" s="26">
        <v>580470</v>
      </c>
      <c r="AG56" s="23">
        <v>0</v>
      </c>
      <c r="AH56" s="23">
        <v>0</v>
      </c>
      <c r="AI56" s="27">
        <v>0.95</v>
      </c>
      <c r="AJ56" s="23">
        <v>0</v>
      </c>
      <c r="AK56" s="23">
        <v>27030.000000000025</v>
      </c>
      <c r="AL56" s="23">
        <v>27030</v>
      </c>
      <c r="AM56" s="2">
        <v>580470</v>
      </c>
      <c r="AN56" s="2"/>
      <c r="AO56" s="28">
        <v>580470</v>
      </c>
      <c r="AP56" s="18">
        <v>45099</v>
      </c>
      <c r="AQ56" s="18">
        <v>45113</v>
      </c>
      <c r="AR56" s="18">
        <v>45147</v>
      </c>
      <c r="AS56" s="11"/>
      <c r="AT56" s="2">
        <v>909500</v>
      </c>
      <c r="AU56" s="2">
        <v>45475</v>
      </c>
      <c r="AV56" s="2">
        <v>954975</v>
      </c>
      <c r="AW56" s="2"/>
      <c r="AX56" s="14">
        <v>89412.49</v>
      </c>
      <c r="AY56" s="29">
        <v>9.3628094976308279E-2</v>
      </c>
      <c r="AZ56" s="11" t="s">
        <v>302</v>
      </c>
      <c r="BA56" s="33">
        <v>0.99476562499999999</v>
      </c>
      <c r="BB56" s="19">
        <v>44511</v>
      </c>
      <c r="BC56" s="11"/>
    </row>
    <row r="57" spans="2:55" hidden="1" x14ac:dyDescent="0.3">
      <c r="B57" s="11" t="s">
        <v>303</v>
      </c>
      <c r="C57" s="12">
        <v>2210618</v>
      </c>
      <c r="D57" s="13">
        <v>7</v>
      </c>
      <c r="E57" s="13">
        <v>14</v>
      </c>
      <c r="F57" s="11" t="s">
        <v>176</v>
      </c>
      <c r="G57" s="11" t="s">
        <v>177</v>
      </c>
      <c r="H57" s="11" t="s">
        <v>178</v>
      </c>
      <c r="I57" s="11" t="s">
        <v>198</v>
      </c>
      <c r="J57" s="4">
        <v>0.6</v>
      </c>
      <c r="K57" s="4">
        <v>0.77500000000000002</v>
      </c>
      <c r="L57" s="4">
        <v>0.67500000000000004</v>
      </c>
      <c r="M57" s="14">
        <v>248000</v>
      </c>
      <c r="N57" s="15">
        <v>275000</v>
      </c>
      <c r="O57" s="15">
        <v>248000</v>
      </c>
      <c r="P57" s="15">
        <v>915000</v>
      </c>
      <c r="Q57" s="3">
        <v>908145</v>
      </c>
      <c r="R57" s="5">
        <v>319.54433497536945</v>
      </c>
      <c r="S57" s="16">
        <v>5872.7838400000001</v>
      </c>
      <c r="T57" s="16">
        <v>2842</v>
      </c>
      <c r="U57" s="1">
        <v>517100</v>
      </c>
      <c r="V57" s="6">
        <v>181.94933145672061</v>
      </c>
      <c r="W57" s="23">
        <v>148800</v>
      </c>
      <c r="X57" s="23">
        <v>444152.5</v>
      </c>
      <c r="Y57" s="31">
        <v>592952.5</v>
      </c>
      <c r="Z57" s="24">
        <v>0.65292712066905612</v>
      </c>
      <c r="AA57" s="24">
        <v>0.77500000000000002</v>
      </c>
      <c r="AB57" s="5">
        <v>567097.5</v>
      </c>
      <c r="AC57" s="17">
        <v>44886</v>
      </c>
      <c r="AD57" s="1">
        <v>148800</v>
      </c>
      <c r="AE57" s="1">
        <v>418297.5</v>
      </c>
      <c r="AF57" s="26">
        <v>567097.5</v>
      </c>
      <c r="AG57" s="23">
        <v>0</v>
      </c>
      <c r="AH57" s="23">
        <v>0</v>
      </c>
      <c r="AI57" s="27">
        <v>0.95</v>
      </c>
      <c r="AJ57" s="23">
        <v>0</v>
      </c>
      <c r="AK57" s="23">
        <v>25855.000000000022</v>
      </c>
      <c r="AL57" s="23">
        <v>25855</v>
      </c>
      <c r="AM57" s="2">
        <v>567097.5</v>
      </c>
      <c r="AN57" s="2"/>
      <c r="AO57" s="28">
        <v>567097.5</v>
      </c>
      <c r="AP57" s="18">
        <v>45131</v>
      </c>
      <c r="AQ57" s="18">
        <v>45135</v>
      </c>
      <c r="AR57" s="18">
        <v>45163</v>
      </c>
      <c r="AS57" s="11"/>
      <c r="AT57" s="2">
        <v>864900</v>
      </c>
      <c r="AU57" s="2">
        <v>43245</v>
      </c>
      <c r="AV57" s="2">
        <v>908145</v>
      </c>
      <c r="AW57" s="2"/>
      <c r="AX57" s="14">
        <v>95380</v>
      </c>
      <c r="AY57" s="29">
        <v>0.10502728088576163</v>
      </c>
      <c r="AZ57" s="11" t="s">
        <v>304</v>
      </c>
      <c r="BA57" s="33">
        <v>0.99250819672131152</v>
      </c>
      <c r="BB57" s="19">
        <v>44511</v>
      </c>
      <c r="BC57" s="11"/>
    </row>
    <row r="58" spans="2:55" hidden="1" x14ac:dyDescent="0.3">
      <c r="B58" s="11" t="s">
        <v>305</v>
      </c>
      <c r="C58" s="12">
        <v>2211425</v>
      </c>
      <c r="D58" s="13">
        <v>6</v>
      </c>
      <c r="E58" s="13">
        <v>8</v>
      </c>
      <c r="F58" s="11" t="s">
        <v>306</v>
      </c>
      <c r="G58" s="11" t="s">
        <v>177</v>
      </c>
      <c r="H58" s="11" t="s">
        <v>195</v>
      </c>
      <c r="I58" s="11" t="s">
        <v>198</v>
      </c>
      <c r="J58" s="4">
        <v>0.5</v>
      </c>
      <c r="K58" s="4">
        <v>0.72499999999999998</v>
      </c>
      <c r="L58" s="4">
        <v>0.625</v>
      </c>
      <c r="M58" s="14">
        <v>155000</v>
      </c>
      <c r="N58" s="15">
        <v>250000</v>
      </c>
      <c r="O58" s="15">
        <v>155000</v>
      </c>
      <c r="P58" s="15">
        <v>685000</v>
      </c>
      <c r="Q58" s="3">
        <v>685000</v>
      </c>
      <c r="R58" s="5">
        <v>301.36383633963925</v>
      </c>
      <c r="S58" s="16">
        <v>3942</v>
      </c>
      <c r="T58" s="16">
        <v>2273</v>
      </c>
      <c r="U58" s="1">
        <v>399400</v>
      </c>
      <c r="V58" s="6">
        <v>175.71491421029475</v>
      </c>
      <c r="W58" s="23">
        <v>77500</v>
      </c>
      <c r="X58" s="23">
        <v>324440</v>
      </c>
      <c r="Y58" s="31">
        <v>401940</v>
      </c>
      <c r="Z58" s="24">
        <v>0.58677372262773719</v>
      </c>
      <c r="AA58" s="24">
        <v>0.72499999999999998</v>
      </c>
      <c r="AB58" s="5">
        <v>385964</v>
      </c>
      <c r="AC58" s="17">
        <v>44991</v>
      </c>
      <c r="AD58" s="1">
        <v>77500</v>
      </c>
      <c r="AE58" s="1">
        <v>308464</v>
      </c>
      <c r="AF58" s="26">
        <v>385964</v>
      </c>
      <c r="AG58" s="23">
        <v>0</v>
      </c>
      <c r="AH58" s="23">
        <v>0</v>
      </c>
      <c r="AI58" s="27">
        <v>0.96</v>
      </c>
      <c r="AJ58" s="23">
        <v>0</v>
      </c>
      <c r="AK58" s="23">
        <v>15976.000000000015</v>
      </c>
      <c r="AL58" s="23">
        <v>15976</v>
      </c>
      <c r="AM58" s="2">
        <v>385964</v>
      </c>
      <c r="AN58" s="2"/>
      <c r="AO58" s="28">
        <v>385964</v>
      </c>
      <c r="AP58" s="18">
        <v>45251</v>
      </c>
      <c r="AQ58" s="18">
        <v>45258</v>
      </c>
      <c r="AR58" s="18">
        <v>45282</v>
      </c>
      <c r="AS58" s="11"/>
      <c r="AT58" s="2">
        <v>687619.04761904757</v>
      </c>
      <c r="AU58" s="2">
        <v>34380.952380952425</v>
      </c>
      <c r="AV58" s="2">
        <v>722000</v>
      </c>
      <c r="AW58" s="2"/>
      <c r="AX58" s="14">
        <v>30000</v>
      </c>
      <c r="AY58" s="29">
        <v>4.1551246537396121E-2</v>
      </c>
      <c r="AZ58" s="11" t="s">
        <v>307</v>
      </c>
      <c r="BA58" s="33">
        <v>1.0540145985401459</v>
      </c>
      <c r="BB58" s="19">
        <v>45223</v>
      </c>
      <c r="BC58" s="11"/>
    </row>
    <row r="59" spans="2:55" x14ac:dyDescent="0.3">
      <c r="B59" s="11" t="s">
        <v>308</v>
      </c>
      <c r="C59" s="12">
        <v>2011558</v>
      </c>
      <c r="D59" s="13">
        <v>1</v>
      </c>
      <c r="E59" s="13">
        <v>29</v>
      </c>
      <c r="F59" s="11" t="s">
        <v>239</v>
      </c>
      <c r="G59" s="11" t="s">
        <v>177</v>
      </c>
      <c r="H59" s="11" t="s">
        <v>178</v>
      </c>
      <c r="I59" s="11" t="s">
        <v>198</v>
      </c>
      <c r="J59" s="4">
        <v>0.6</v>
      </c>
      <c r="K59" s="4">
        <v>0.77500000000000002</v>
      </c>
      <c r="L59" s="4">
        <v>0.67500000000000004</v>
      </c>
      <c r="M59" s="14">
        <v>184000</v>
      </c>
      <c r="N59" s="15">
        <v>215000</v>
      </c>
      <c r="O59" s="15">
        <v>184000</v>
      </c>
      <c r="P59" s="15">
        <v>840000</v>
      </c>
      <c r="Q59" s="3">
        <v>840000</v>
      </c>
      <c r="R59" s="5">
        <v>266.41294005708846</v>
      </c>
      <c r="S59" s="16">
        <v>8859</v>
      </c>
      <c r="T59" s="16">
        <v>3153</v>
      </c>
      <c r="U59" s="1">
        <v>548600</v>
      </c>
      <c r="V59" s="6">
        <v>173.99302251823659</v>
      </c>
      <c r="W59" s="23">
        <v>110400</v>
      </c>
      <c r="X59" s="23">
        <v>456600</v>
      </c>
      <c r="Y59" s="31">
        <v>567000</v>
      </c>
      <c r="Z59" s="24">
        <v>0.67500000000000004</v>
      </c>
      <c r="AA59" s="24">
        <v>0.77395577395577397</v>
      </c>
      <c r="AB59" s="5">
        <v>545056</v>
      </c>
      <c r="AC59" s="17">
        <v>44981</v>
      </c>
      <c r="AD59" s="1">
        <v>110400</v>
      </c>
      <c r="AE59" s="1">
        <v>434656</v>
      </c>
      <c r="AF59" s="26">
        <v>545056</v>
      </c>
      <c r="AG59" s="23">
        <v>0</v>
      </c>
      <c r="AH59" s="23">
        <v>0</v>
      </c>
      <c r="AI59" s="27">
        <v>0.96</v>
      </c>
      <c r="AJ59" s="23">
        <v>0</v>
      </c>
      <c r="AK59" s="23">
        <v>21944.000000000018</v>
      </c>
      <c r="AL59" s="23">
        <v>21944</v>
      </c>
      <c r="AM59" s="2">
        <v>545056</v>
      </c>
      <c r="AN59" s="2"/>
      <c r="AO59" s="28">
        <v>545056</v>
      </c>
      <c r="AP59" s="18">
        <v>45254</v>
      </c>
      <c r="AQ59" s="18">
        <v>45261</v>
      </c>
      <c r="AR59" s="18">
        <v>45282</v>
      </c>
      <c r="AS59" s="11"/>
      <c r="AT59" s="2">
        <v>944450</v>
      </c>
      <c r="AU59" s="2">
        <v>47222.5</v>
      </c>
      <c r="AV59" s="2">
        <v>991672.5</v>
      </c>
      <c r="AW59" s="2"/>
      <c r="AX59" s="14">
        <v>89445</v>
      </c>
      <c r="AY59" s="29">
        <v>9.0196108090120478E-2</v>
      </c>
      <c r="AZ59" s="11" t="s">
        <v>309</v>
      </c>
      <c r="BA59" s="33">
        <v>1.1805625</v>
      </c>
      <c r="BB59" s="19">
        <v>44674</v>
      </c>
      <c r="BC59" s="11"/>
    </row>
    <row r="60" spans="2:55" hidden="1" x14ac:dyDescent="0.3">
      <c r="B60" s="52" t="s">
        <v>38</v>
      </c>
      <c r="C60" s="42"/>
      <c r="D60" s="43"/>
      <c r="E60" s="43"/>
      <c r="F60" s="44"/>
      <c r="G60" s="44"/>
      <c r="H60" s="44"/>
      <c r="I60" s="44"/>
      <c r="J60" s="45"/>
      <c r="K60" s="45"/>
      <c r="L60" s="45"/>
      <c r="M60" s="45"/>
      <c r="N60" s="46"/>
      <c r="O60" s="46"/>
      <c r="P60" s="46"/>
      <c r="Q60" s="46"/>
      <c r="R60" s="44"/>
      <c r="S60" s="47"/>
      <c r="T60" s="47"/>
      <c r="U60" s="48"/>
      <c r="V60" s="48"/>
      <c r="W60" s="49"/>
      <c r="X60" s="49"/>
      <c r="Y60" s="49"/>
      <c r="Z60" s="50"/>
      <c r="AA60" s="50"/>
      <c r="AB60" s="49"/>
      <c r="AC60" s="49"/>
      <c r="AD60" s="49"/>
      <c r="AE60" s="49"/>
      <c r="AF60" s="51">
        <f>SUM(AF4:AF59)</f>
        <v>22646836.57</v>
      </c>
      <c r="AG60" s="49"/>
      <c r="AH60" s="49"/>
      <c r="AI60" s="45"/>
      <c r="AJ60" s="51"/>
      <c r="AK60" s="51"/>
      <c r="AL60" s="51"/>
      <c r="AM60" s="51">
        <f>SUM(AM4:AM59)</f>
        <v>22646836.57</v>
      </c>
      <c r="AN60" s="51"/>
      <c r="AO60" s="51"/>
      <c r="AP60" s="51"/>
      <c r="AQ60" s="52"/>
      <c r="AR60" s="52"/>
      <c r="AS60" s="52"/>
      <c r="AT60" s="52"/>
      <c r="AU60" s="52"/>
      <c r="AV60" s="52"/>
      <c r="AW60" s="52"/>
      <c r="AX60" s="52"/>
      <c r="AY60" s="52"/>
      <c r="AZ60" s="52"/>
      <c r="BA60" s="52"/>
      <c r="BB60" s="52"/>
      <c r="BC60" s="52"/>
    </row>
  </sheetData>
  <autoFilter ref="B3:BC60" xr:uid="{A3FB9613-8F25-41AD-AB45-FDBE941FFF3F}">
    <filterColumn colId="4">
      <filters>
        <filter val="Langdon"/>
      </filters>
    </filterColumn>
  </autoFilter>
  <conditionalFormatting sqref="J4:L59">
    <cfRule type="cellIs" dxfId="0" priority="2" operator="equal">
      <formula>"OUTSIDE CL REGIONS"</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F90-0376-4B02-BC36-A9B8827112F0}">
  <dimension ref="A2:W39"/>
  <sheetViews>
    <sheetView showGridLines="0" zoomScaleNormal="100" workbookViewId="0">
      <selection activeCell="E10" sqref="E10"/>
    </sheetView>
  </sheetViews>
  <sheetFormatPr defaultRowHeight="14.4" x14ac:dyDescent="0.3"/>
  <cols>
    <col min="1" max="1" width="7.88671875" bestFit="1" customWidth="1"/>
    <col min="2" max="4" width="9.5546875" customWidth="1"/>
    <col min="5" max="5" width="23.6640625" bestFit="1" customWidth="1"/>
    <col min="6" max="15" width="14.5546875" customWidth="1"/>
    <col min="16" max="16" width="20.6640625" customWidth="1"/>
    <col min="17" max="18" width="13.6640625" customWidth="1"/>
    <col min="19" max="19" width="24.109375" customWidth="1"/>
    <col min="20" max="20" width="19.33203125" bestFit="1" customWidth="1"/>
    <col min="21" max="21" width="12.6640625" bestFit="1" customWidth="1"/>
    <col min="22" max="22" width="14.5546875" bestFit="1" customWidth="1"/>
  </cols>
  <sheetData>
    <row r="2" spans="1:21" ht="14.7" customHeight="1" x14ac:dyDescent="0.3">
      <c r="B2" s="152" t="s">
        <v>43</v>
      </c>
      <c r="C2" s="152" t="s">
        <v>6</v>
      </c>
      <c r="D2" s="152" t="s">
        <v>7</v>
      </c>
      <c r="E2" s="41" t="s">
        <v>42</v>
      </c>
      <c r="F2" s="41" t="s">
        <v>46</v>
      </c>
      <c r="G2" s="41" t="s">
        <v>48</v>
      </c>
      <c r="H2" s="41" t="s">
        <v>310</v>
      </c>
      <c r="I2" s="41" t="s">
        <v>54</v>
      </c>
      <c r="J2" s="255" t="s">
        <v>311</v>
      </c>
      <c r="K2" s="41" t="s">
        <v>312</v>
      </c>
      <c r="L2" s="41" t="s">
        <v>50</v>
      </c>
      <c r="M2" s="41" t="s">
        <v>51</v>
      </c>
      <c r="N2" s="41" t="s">
        <v>53</v>
      </c>
      <c r="O2" s="41" t="s">
        <v>55</v>
      </c>
      <c r="Q2" s="41"/>
      <c r="R2" s="41"/>
      <c r="S2" s="41"/>
      <c r="T2" s="41"/>
    </row>
    <row r="3" spans="1:21" ht="14.7" customHeight="1" x14ac:dyDescent="0.3">
      <c r="B3" s="158" t="s">
        <v>5</v>
      </c>
      <c r="C3" s="158" t="s">
        <v>5</v>
      </c>
      <c r="D3" s="158" t="s">
        <v>5</v>
      </c>
      <c r="E3" s="159"/>
      <c r="F3" s="159" t="s">
        <v>11</v>
      </c>
      <c r="G3" s="159" t="s">
        <v>313</v>
      </c>
      <c r="H3" s="159" t="s">
        <v>14</v>
      </c>
      <c r="I3" s="159" t="s">
        <v>16</v>
      </c>
      <c r="J3" s="255"/>
      <c r="K3" s="159" t="s">
        <v>314</v>
      </c>
      <c r="L3" s="159" t="s">
        <v>314</v>
      </c>
      <c r="M3" s="159" t="s">
        <v>315</v>
      </c>
      <c r="N3" s="159" t="s">
        <v>315</v>
      </c>
      <c r="O3" s="159"/>
      <c r="Q3" s="41"/>
      <c r="R3" s="41"/>
      <c r="S3" s="41"/>
      <c r="T3" s="41"/>
    </row>
    <row r="4" spans="1:21" ht="14.7" customHeight="1" x14ac:dyDescent="0.3">
      <c r="B4" s="154">
        <v>2412602</v>
      </c>
      <c r="C4" s="155">
        <v>11</v>
      </c>
      <c r="D4" s="155">
        <v>41</v>
      </c>
      <c r="E4" s="156" t="s">
        <v>316</v>
      </c>
      <c r="F4" s="157">
        <v>205000</v>
      </c>
      <c r="G4" s="182">
        <v>45782</v>
      </c>
      <c r="H4" s="156"/>
      <c r="I4" s="160"/>
      <c r="J4" s="176"/>
      <c r="K4" s="183">
        <v>8.92</v>
      </c>
      <c r="L4" s="183"/>
      <c r="M4" s="183">
        <f t="shared" ref="M4:M14" si="0">K4*3.28084</f>
        <v>29.265092799999998</v>
      </c>
      <c r="N4" s="183"/>
      <c r="O4" s="184">
        <f>F4/M4</f>
        <v>7004.932511268169</v>
      </c>
      <c r="Q4" s="41"/>
      <c r="R4" s="41"/>
      <c r="S4" s="41"/>
      <c r="T4" s="41"/>
    </row>
    <row r="5" spans="1:21" ht="14.7" customHeight="1" x14ac:dyDescent="0.3">
      <c r="B5" s="161">
        <v>2412602</v>
      </c>
      <c r="C5" s="152">
        <v>11</v>
      </c>
      <c r="D5" s="152">
        <v>45</v>
      </c>
      <c r="E5" s="41" t="s">
        <v>317</v>
      </c>
      <c r="F5" s="117">
        <v>205000</v>
      </c>
      <c r="G5" s="177">
        <v>45889</v>
      </c>
      <c r="H5" s="41"/>
      <c r="I5" s="162"/>
      <c r="J5" s="163"/>
      <c r="K5" s="171">
        <v>8.92</v>
      </c>
      <c r="L5" s="171"/>
      <c r="M5" s="171">
        <f t="shared" si="0"/>
        <v>29.265092799999998</v>
      </c>
      <c r="N5" s="171"/>
      <c r="O5" s="185">
        <f>F5/M5</f>
        <v>7004.932511268169</v>
      </c>
      <c r="Q5" s="41"/>
      <c r="R5" s="41"/>
      <c r="S5" s="41"/>
      <c r="T5" s="41"/>
    </row>
    <row r="6" spans="1:21" ht="14.7" customHeight="1" x14ac:dyDescent="0.3">
      <c r="B6" s="161">
        <v>2412602</v>
      </c>
      <c r="C6" s="152">
        <v>11</v>
      </c>
      <c r="D6" s="152">
        <v>46</v>
      </c>
      <c r="E6" s="41" t="s">
        <v>318</v>
      </c>
      <c r="F6" s="117">
        <v>205000</v>
      </c>
      <c r="G6" s="177">
        <v>45711</v>
      </c>
      <c r="H6" s="41"/>
      <c r="I6" s="162"/>
      <c r="J6" s="163"/>
      <c r="K6" s="171">
        <v>8.92</v>
      </c>
      <c r="L6" s="171"/>
      <c r="M6" s="171">
        <f t="shared" si="0"/>
        <v>29.265092799999998</v>
      </c>
      <c r="N6" s="171"/>
      <c r="O6" s="185">
        <f t="shared" ref="O6:O12" si="1">F6/M6</f>
        <v>7004.932511268169</v>
      </c>
      <c r="Q6" s="41"/>
      <c r="R6" s="41"/>
      <c r="S6" s="41"/>
      <c r="T6" s="41"/>
    </row>
    <row r="7" spans="1:21" ht="14.7" customHeight="1" x14ac:dyDescent="0.3">
      <c r="B7" s="161">
        <v>2412602</v>
      </c>
      <c r="C7" s="152">
        <v>11</v>
      </c>
      <c r="D7" s="152">
        <v>48</v>
      </c>
      <c r="E7" s="41" t="s">
        <v>319</v>
      </c>
      <c r="F7" s="117">
        <v>205000</v>
      </c>
      <c r="G7" s="177">
        <v>45889</v>
      </c>
      <c r="H7" s="41"/>
      <c r="I7" s="162"/>
      <c r="J7" s="163"/>
      <c r="K7" s="171">
        <v>8.92</v>
      </c>
      <c r="L7" s="171"/>
      <c r="M7" s="171">
        <f t="shared" si="0"/>
        <v>29.265092799999998</v>
      </c>
      <c r="N7" s="171"/>
      <c r="O7" s="185">
        <f t="shared" si="1"/>
        <v>7004.932511268169</v>
      </c>
      <c r="Q7" s="41"/>
      <c r="R7" s="41"/>
      <c r="S7" s="41"/>
      <c r="T7" s="41"/>
    </row>
    <row r="8" spans="1:21" ht="14.7" customHeight="1" x14ac:dyDescent="0.3">
      <c r="B8" s="161">
        <v>2412602</v>
      </c>
      <c r="C8" s="152">
        <v>11</v>
      </c>
      <c r="D8" s="152">
        <v>49</v>
      </c>
      <c r="E8" s="41" t="s">
        <v>320</v>
      </c>
      <c r="F8" s="117">
        <v>205000</v>
      </c>
      <c r="G8" s="177">
        <v>45874</v>
      </c>
      <c r="H8" s="171"/>
      <c r="I8" s="162"/>
      <c r="J8" s="163"/>
      <c r="K8" s="171">
        <v>8.92</v>
      </c>
      <c r="L8" s="171"/>
      <c r="M8" s="171">
        <f t="shared" si="0"/>
        <v>29.265092799999998</v>
      </c>
      <c r="N8" s="171"/>
      <c r="O8" s="185">
        <f t="shared" si="1"/>
        <v>7004.932511268169</v>
      </c>
      <c r="P8" s="41"/>
      <c r="Q8" s="153"/>
      <c r="R8" s="41"/>
      <c r="S8" s="41"/>
      <c r="T8" s="41"/>
      <c r="U8" s="41"/>
    </row>
    <row r="9" spans="1:21" ht="14.7" customHeight="1" x14ac:dyDescent="0.3">
      <c r="B9" s="161">
        <v>2412602</v>
      </c>
      <c r="C9" s="152">
        <v>11</v>
      </c>
      <c r="D9" s="152">
        <v>50</v>
      </c>
      <c r="E9" s="41" t="s">
        <v>321</v>
      </c>
      <c r="F9" s="117">
        <v>205000</v>
      </c>
      <c r="G9" s="177">
        <v>45782</v>
      </c>
      <c r="H9" s="171"/>
      <c r="I9" s="162"/>
      <c r="J9" s="163"/>
      <c r="K9" s="171">
        <v>8.92</v>
      </c>
      <c r="L9" s="171"/>
      <c r="M9" s="171">
        <f t="shared" si="0"/>
        <v>29.265092799999998</v>
      </c>
      <c r="N9" s="171"/>
      <c r="O9" s="185">
        <f t="shared" si="1"/>
        <v>7004.932511268169</v>
      </c>
      <c r="P9" s="41"/>
      <c r="Q9" s="153"/>
      <c r="R9" s="41"/>
      <c r="S9" s="41"/>
      <c r="T9" s="41"/>
      <c r="U9" s="41"/>
    </row>
    <row r="10" spans="1:21" ht="14.7" customHeight="1" x14ac:dyDescent="0.3">
      <c r="A10" t="s">
        <v>322</v>
      </c>
      <c r="B10" s="161">
        <v>2412602</v>
      </c>
      <c r="C10" s="152">
        <v>11</v>
      </c>
      <c r="D10" s="152">
        <v>32</v>
      </c>
      <c r="E10" s="41" t="s">
        <v>323</v>
      </c>
      <c r="F10" s="117">
        <v>205000</v>
      </c>
      <c r="G10" s="177">
        <v>45773</v>
      </c>
      <c r="H10" s="171"/>
      <c r="I10" s="162"/>
      <c r="J10" s="163"/>
      <c r="K10" s="171">
        <v>8.92</v>
      </c>
      <c r="L10" s="171"/>
      <c r="M10" s="171">
        <f t="shared" si="0"/>
        <v>29.265092799999998</v>
      </c>
      <c r="N10" s="171"/>
      <c r="O10" s="185">
        <f t="shared" si="1"/>
        <v>7004.932511268169</v>
      </c>
      <c r="P10" s="41"/>
      <c r="Q10" s="153"/>
      <c r="R10" s="41"/>
      <c r="S10" s="41"/>
      <c r="T10" s="41"/>
      <c r="U10" s="41"/>
    </row>
    <row r="11" spans="1:21" ht="14.7" customHeight="1" x14ac:dyDescent="0.3">
      <c r="A11" t="s">
        <v>322</v>
      </c>
      <c r="B11" s="161">
        <v>2412602</v>
      </c>
      <c r="C11" s="152">
        <v>11</v>
      </c>
      <c r="D11" s="152">
        <v>33</v>
      </c>
      <c r="E11" s="41" t="s">
        <v>324</v>
      </c>
      <c r="F11" s="117">
        <v>205000</v>
      </c>
      <c r="G11" s="177">
        <v>45852</v>
      </c>
      <c r="H11" s="171"/>
      <c r="I11" s="162"/>
      <c r="J11" s="163"/>
      <c r="K11" s="41">
        <v>8.92</v>
      </c>
      <c r="L11" s="41"/>
      <c r="M11" s="171">
        <f t="shared" si="0"/>
        <v>29.265092799999998</v>
      </c>
      <c r="N11" s="41"/>
      <c r="O11" s="185">
        <f t="shared" si="1"/>
        <v>7004.932511268169</v>
      </c>
      <c r="P11" s="41"/>
      <c r="Q11" s="153"/>
      <c r="R11" s="41"/>
      <c r="S11" s="41"/>
      <c r="T11" s="41"/>
      <c r="U11" s="41"/>
    </row>
    <row r="12" spans="1:21" ht="14.7" customHeight="1" x14ac:dyDescent="0.3">
      <c r="B12" s="161">
        <v>2412602</v>
      </c>
      <c r="C12" s="152">
        <v>11</v>
      </c>
      <c r="D12" s="152">
        <v>17</v>
      </c>
      <c r="E12" s="41" t="s">
        <v>325</v>
      </c>
      <c r="F12" s="117">
        <v>180000</v>
      </c>
      <c r="G12" s="177">
        <v>45749</v>
      </c>
      <c r="H12" s="171"/>
      <c r="I12" s="162"/>
      <c r="J12" s="163"/>
      <c r="K12" s="41">
        <v>7.72</v>
      </c>
      <c r="L12" s="41"/>
      <c r="M12" s="171">
        <f t="shared" si="0"/>
        <v>25.328084799999999</v>
      </c>
      <c r="N12" s="41"/>
      <c r="O12" s="185">
        <f t="shared" si="1"/>
        <v>7106.7355238798</v>
      </c>
      <c r="P12" s="41"/>
      <c r="Q12" s="153"/>
      <c r="R12" s="41"/>
      <c r="S12" s="41"/>
      <c r="T12" s="41"/>
      <c r="U12" s="41"/>
    </row>
    <row r="13" spans="1:21" ht="14.7" customHeight="1" x14ac:dyDescent="0.3">
      <c r="A13" t="s">
        <v>322</v>
      </c>
      <c r="B13" s="161">
        <v>2412602</v>
      </c>
      <c r="C13" s="152">
        <v>11</v>
      </c>
      <c r="D13" s="152">
        <v>18</v>
      </c>
      <c r="E13" s="41" t="s">
        <v>326</v>
      </c>
      <c r="F13" s="117">
        <v>180000</v>
      </c>
      <c r="G13" s="177">
        <v>45773</v>
      </c>
      <c r="H13" s="171"/>
      <c r="I13" s="162"/>
      <c r="J13" s="163"/>
      <c r="K13" s="41">
        <v>7.72</v>
      </c>
      <c r="L13" s="41"/>
      <c r="M13" s="171">
        <f t="shared" si="0"/>
        <v>25.328084799999999</v>
      </c>
      <c r="N13" s="41"/>
      <c r="O13" s="185">
        <f t="shared" ref="O13:O14" si="2">F13/M13</f>
        <v>7106.7355238798</v>
      </c>
      <c r="P13" s="41"/>
      <c r="Q13" s="153"/>
      <c r="R13" s="41"/>
      <c r="S13" s="41"/>
      <c r="T13" s="41"/>
      <c r="U13" s="41"/>
    </row>
    <row r="14" spans="1:21" ht="14.7" customHeight="1" x14ac:dyDescent="0.3">
      <c r="B14" s="161">
        <v>2412602</v>
      </c>
      <c r="C14" s="152">
        <v>11</v>
      </c>
      <c r="D14" s="152">
        <v>19</v>
      </c>
      <c r="E14" s="41" t="s">
        <v>327</v>
      </c>
      <c r="F14" s="117">
        <v>180000</v>
      </c>
      <c r="G14" s="177">
        <v>45749</v>
      </c>
      <c r="H14" s="171"/>
      <c r="I14" s="162"/>
      <c r="J14" s="163"/>
      <c r="K14" s="41">
        <v>7.72</v>
      </c>
      <c r="L14" s="41"/>
      <c r="M14" s="171">
        <f t="shared" si="0"/>
        <v>25.328084799999999</v>
      </c>
      <c r="N14" s="41"/>
      <c r="O14" s="185">
        <f t="shared" si="2"/>
        <v>7106.7355238798</v>
      </c>
      <c r="P14" s="41"/>
      <c r="Q14" s="153"/>
      <c r="R14" s="41"/>
      <c r="S14" s="41"/>
      <c r="T14" s="41"/>
      <c r="U14" s="41"/>
    </row>
    <row r="15" spans="1:21" ht="14.7" customHeight="1" x14ac:dyDescent="0.3">
      <c r="B15" s="161"/>
      <c r="C15" s="152"/>
      <c r="D15" s="152"/>
      <c r="E15" s="41"/>
      <c r="F15" s="117"/>
      <c r="G15" s="41"/>
      <c r="H15" s="41"/>
      <c r="I15" s="162"/>
      <c r="J15" s="163"/>
      <c r="K15" s="41"/>
      <c r="L15" s="41"/>
      <c r="M15" s="41"/>
      <c r="N15" s="41"/>
      <c r="O15" s="41"/>
      <c r="P15" s="41"/>
      <c r="Q15" s="153"/>
      <c r="R15" s="41"/>
      <c r="S15" s="41"/>
      <c r="T15" s="41"/>
      <c r="U15" s="41"/>
    </row>
    <row r="16" spans="1:21" ht="14.7" customHeight="1" x14ac:dyDescent="0.3">
      <c r="B16" s="154" t="s">
        <v>66</v>
      </c>
      <c r="C16" s="155"/>
      <c r="D16" s="155"/>
      <c r="E16" s="156"/>
      <c r="F16" s="157">
        <f>AVERAGEIF(F4:F15,"&gt;0")</f>
        <v>198181.81818181818</v>
      </c>
      <c r="G16" s="157"/>
      <c r="H16" s="160" t="e">
        <f>AVERAGEIF(H4:H15,"&gt;0")</f>
        <v>#DIV/0!</v>
      </c>
      <c r="I16" s="160" t="e">
        <f>AVERAGEIF(I4:I15,"&gt;0")</f>
        <v>#DIV/0!</v>
      </c>
      <c r="J16" s="160" t="e">
        <f>AVERAGEIF(J4:J15,"&gt;0")</f>
        <v>#DIV/0!</v>
      </c>
      <c r="K16" s="156"/>
      <c r="L16" s="156"/>
      <c r="M16" s="183">
        <f>M9</f>
        <v>29.265092799999998</v>
      </c>
      <c r="N16" s="156"/>
      <c r="O16" s="156">
        <f>AVERAGE(O4:O15)</f>
        <v>7032.6969692531593</v>
      </c>
      <c r="P16" s="41"/>
      <c r="Q16" s="153"/>
      <c r="R16" s="41"/>
      <c r="S16" s="41"/>
      <c r="T16" s="41"/>
      <c r="U16" s="41"/>
    </row>
    <row r="17" spans="2:23" ht="14.7" customHeight="1" thickBot="1" x14ac:dyDescent="0.35">
      <c r="B17" s="41"/>
      <c r="C17" s="41"/>
      <c r="D17" s="41"/>
      <c r="E17" s="41"/>
      <c r="F17" s="41"/>
      <c r="G17" s="41"/>
      <c r="H17" s="41"/>
      <c r="I17" s="41"/>
      <c r="J17" s="41"/>
      <c r="K17" s="41"/>
      <c r="L17" s="41"/>
      <c r="M17" s="41"/>
      <c r="N17" s="41"/>
      <c r="O17" s="41"/>
      <c r="P17" s="41"/>
      <c r="Q17" s="41"/>
      <c r="R17" s="153"/>
      <c r="S17" s="41"/>
      <c r="T17" s="41"/>
      <c r="U17" s="41"/>
      <c r="V17" s="41"/>
    </row>
    <row r="18" spans="2:23" ht="14.7" customHeight="1" thickBot="1" x14ac:dyDescent="0.35">
      <c r="B18" s="164">
        <v>2412602</v>
      </c>
      <c r="C18" s="165">
        <v>11</v>
      </c>
      <c r="D18" s="165">
        <v>39</v>
      </c>
      <c r="E18" s="166" t="s">
        <v>328</v>
      </c>
      <c r="F18" s="167">
        <f>Summary!D24</f>
        <v>240000</v>
      </c>
      <c r="G18" s="166" t="s">
        <v>329</v>
      </c>
      <c r="H18" s="166">
        <v>315</v>
      </c>
      <c r="I18" s="168">
        <f>H18*10.76</f>
        <v>3389.4</v>
      </c>
      <c r="J18" s="169">
        <f>F18/I18</f>
        <v>70.808992742078246</v>
      </c>
      <c r="K18" s="166"/>
      <c r="L18" s="166"/>
      <c r="M18" s="166"/>
      <c r="N18" s="166"/>
      <c r="O18" s="166"/>
      <c r="P18" s="41"/>
      <c r="Q18" s="41"/>
      <c r="R18" s="41"/>
      <c r="S18" s="153"/>
      <c r="T18" s="41"/>
      <c r="U18" s="41"/>
      <c r="V18" s="41"/>
      <c r="W18" s="41"/>
    </row>
    <row r="19" spans="2:23" ht="14.7" customHeight="1" x14ac:dyDescent="0.3">
      <c r="B19" s="41"/>
      <c r="C19" s="41"/>
      <c r="D19" s="41"/>
      <c r="E19" s="41"/>
      <c r="F19" s="41"/>
      <c r="G19" s="41"/>
      <c r="H19" s="41"/>
      <c r="I19" s="41"/>
      <c r="J19" s="41"/>
      <c r="K19" s="41"/>
      <c r="L19" s="41"/>
      <c r="M19" s="41"/>
      <c r="N19" s="41"/>
      <c r="O19" s="41"/>
      <c r="P19" s="41"/>
      <c r="Q19" s="41"/>
      <c r="R19" s="41"/>
      <c r="S19" s="153"/>
      <c r="T19" s="41"/>
      <c r="U19" s="41"/>
      <c r="V19" s="41"/>
      <c r="W19" s="41"/>
    </row>
    <row r="20" spans="2:23" ht="14.7" customHeight="1" x14ac:dyDescent="0.3">
      <c r="B20" s="41"/>
      <c r="C20" s="41"/>
      <c r="D20" s="41"/>
      <c r="E20" s="41"/>
      <c r="F20" s="41"/>
      <c r="G20" s="41"/>
      <c r="H20" s="41"/>
      <c r="I20" s="41"/>
      <c r="J20" s="41"/>
      <c r="K20" s="41"/>
      <c r="L20" s="41"/>
      <c r="M20" s="41"/>
      <c r="N20" s="41"/>
      <c r="O20" s="41"/>
      <c r="P20" s="41"/>
      <c r="Q20" s="41"/>
      <c r="R20" s="41"/>
      <c r="S20" s="153"/>
      <c r="T20" s="41"/>
      <c r="U20" s="41"/>
      <c r="V20" s="41"/>
      <c r="W20" s="41"/>
    </row>
    <row r="21" spans="2:23" ht="16.2" x14ac:dyDescent="0.3">
      <c r="B21" s="115"/>
      <c r="C21" s="126"/>
      <c r="D21" s="126" t="s">
        <v>330</v>
      </c>
      <c r="E21" s="126" t="s">
        <v>331</v>
      </c>
      <c r="F21" s="126"/>
      <c r="G21" s="126"/>
    </row>
    <row r="22" spans="2:23" x14ac:dyDescent="0.3">
      <c r="B22" s="119" t="s">
        <v>63</v>
      </c>
      <c r="C22" s="98"/>
      <c r="D22" s="98">
        <f>MIN(O4:O15)</f>
        <v>7004.932511268169</v>
      </c>
      <c r="E22" s="175">
        <f>D22*$M$4</f>
        <v>205000</v>
      </c>
      <c r="F22" s="98"/>
      <c r="G22" s="105"/>
    </row>
    <row r="23" spans="2:23" x14ac:dyDescent="0.3">
      <c r="B23" s="119" t="s">
        <v>64</v>
      </c>
      <c r="C23" s="98"/>
      <c r="D23" s="98">
        <f>_xlfn.PERCENTILE.INC(O4:O15,0.25)</f>
        <v>7004.932511268169</v>
      </c>
      <c r="E23" s="175">
        <f>D23*$M$4</f>
        <v>205000</v>
      </c>
      <c r="F23" s="98"/>
      <c r="G23" s="105"/>
    </row>
    <row r="24" spans="2:23" x14ac:dyDescent="0.3">
      <c r="B24" s="119" t="s">
        <v>65</v>
      </c>
      <c r="C24" s="98"/>
      <c r="D24" s="98">
        <f>O16</f>
        <v>7032.6969692531593</v>
      </c>
      <c r="E24" s="175">
        <f>D24*$M$4</f>
        <v>205812.52943947245</v>
      </c>
      <c r="F24" s="98"/>
      <c r="G24" s="105"/>
    </row>
    <row r="25" spans="2:23" x14ac:dyDescent="0.3">
      <c r="B25" s="119" t="s">
        <v>67</v>
      </c>
      <c r="C25" s="98"/>
      <c r="D25" s="98">
        <f>_xlfn.PERCENTILE.INC(O4:O15,0.75)</f>
        <v>7055.834017573985</v>
      </c>
      <c r="E25" s="175">
        <f>D25*$M$4</f>
        <v>206489.63730569949</v>
      </c>
      <c r="F25" s="98"/>
      <c r="G25" s="105"/>
    </row>
    <row r="26" spans="2:23" x14ac:dyDescent="0.3">
      <c r="B26" s="119" t="s">
        <v>68</v>
      </c>
      <c r="C26" s="98"/>
      <c r="D26" s="98">
        <f>MAX(O4:O15)</f>
        <v>7106.7355238798</v>
      </c>
      <c r="E26" s="175">
        <f>D26*$M$4</f>
        <v>207979.27461139896</v>
      </c>
      <c r="F26" s="98"/>
      <c r="G26" s="105"/>
    </row>
    <row r="27" spans="2:23" x14ac:dyDescent="0.3">
      <c r="B27" s="119"/>
      <c r="C27" s="99"/>
      <c r="D27" s="98"/>
      <c r="F27" s="99"/>
      <c r="G27" s="98"/>
    </row>
    <row r="28" spans="2:23" x14ac:dyDescent="0.3">
      <c r="B28" s="135" t="s">
        <v>74</v>
      </c>
      <c r="C28" s="136"/>
      <c r="D28" s="137"/>
      <c r="E28" s="137"/>
      <c r="F28" s="136">
        <v>432.34658119658121</v>
      </c>
      <c r="G28" s="137">
        <v>1264613.75</v>
      </c>
    </row>
    <row r="29" spans="2:23" x14ac:dyDescent="0.3">
      <c r="B29" s="119"/>
      <c r="C29" s="98"/>
      <c r="D29" s="127"/>
      <c r="F29" s="98"/>
      <c r="G29" s="127"/>
    </row>
    <row r="30" spans="2:23" x14ac:dyDescent="0.3">
      <c r="B30" s="130" t="s">
        <v>332</v>
      </c>
      <c r="C30" s="98"/>
      <c r="D30" s="98"/>
      <c r="F30" s="98" t="e">
        <f>_xlfn.STDEV.S(J8:J15)</f>
        <v>#DIV/0!</v>
      </c>
      <c r="G30" s="99"/>
    </row>
    <row r="31" spans="2:23" ht="15" thickBot="1" x14ac:dyDescent="0.35">
      <c r="B31" s="130"/>
      <c r="C31" s="98"/>
      <c r="D31" s="99"/>
      <c r="F31" s="98"/>
      <c r="G31" s="99"/>
    </row>
    <row r="32" spans="2:23" x14ac:dyDescent="0.3">
      <c r="B32" s="132" t="s">
        <v>333</v>
      </c>
      <c r="C32" s="170"/>
      <c r="D32" s="170">
        <v>7000</v>
      </c>
      <c r="E32" s="170"/>
      <c r="F32" s="186">
        <f>M16</f>
        <v>29.265092799999998</v>
      </c>
      <c r="G32" s="110"/>
    </row>
    <row r="33" spans="2:7" ht="15" thickBot="1" x14ac:dyDescent="0.35">
      <c r="B33" s="133" t="s">
        <v>118</v>
      </c>
      <c r="C33" s="134"/>
      <c r="D33" s="134">
        <f>D32*M18</f>
        <v>0</v>
      </c>
      <c r="E33" s="134"/>
      <c r="F33" s="134">
        <f>D32*F32</f>
        <v>204855.64959999998</v>
      </c>
      <c r="G33" s="110"/>
    </row>
    <row r="35" spans="2:7" x14ac:dyDescent="0.3">
      <c r="B35" s="256"/>
      <c r="C35" s="257"/>
      <c r="D35" s="257"/>
      <c r="E35" s="257"/>
      <c r="F35" s="257"/>
      <c r="G35" s="258"/>
    </row>
    <row r="36" spans="2:7" x14ac:dyDescent="0.3">
      <c r="B36" s="259"/>
      <c r="C36" s="260"/>
      <c r="D36" s="260"/>
      <c r="E36" s="260"/>
      <c r="F36" s="260"/>
      <c r="G36" s="261"/>
    </row>
    <row r="37" spans="2:7" x14ac:dyDescent="0.3">
      <c r="B37" s="259"/>
      <c r="C37" s="260"/>
      <c r="D37" s="260"/>
      <c r="E37" s="260"/>
      <c r="F37" s="260"/>
      <c r="G37" s="261"/>
    </row>
    <row r="38" spans="2:7" x14ac:dyDescent="0.3">
      <c r="B38" s="259"/>
      <c r="C38" s="260"/>
      <c r="D38" s="260"/>
      <c r="E38" s="260"/>
      <c r="F38" s="260"/>
      <c r="G38" s="261"/>
    </row>
    <row r="39" spans="2:7" x14ac:dyDescent="0.3">
      <c r="B39" s="262"/>
      <c r="C39" s="263"/>
      <c r="D39" s="263"/>
      <c r="E39" s="263"/>
      <c r="F39" s="263"/>
      <c r="G39" s="264"/>
    </row>
  </sheetData>
  <mergeCells count="2">
    <mergeCell ref="J2:J3"/>
    <mergeCell ref="B35:G39"/>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c388df0-1dc5-4afa-a44b-6e8006f51c63" xsi:nil="true"/>
    <lcf76f155ced4ddcb4097134ff3c332f xmlns="fd0b0004-c0aa-4bd9-b887-e6fc37d6a9c9">
      <Terms xmlns="http://schemas.microsoft.com/office/infopath/2007/PartnerControls"/>
    </lcf76f155ced4ddcb4097134ff3c332f>
    <CRMID xmlns="fd0b0004-c0aa-4bd9-b887-e6fc37d6a9c9" xsi:nil="true"/>
    <Lending_x0020_Stage xmlns="2c388df0-1dc5-4afa-a44b-6e8006f51c63">5. IM Internal Credit Review</Lending_x0020_Stage>
    <TMO_x0020_Mortgage_x0020_Number xmlns="2c388df0-1dc5-4afa-a44b-6e8006f51c63">KVC-1384</TMO_x0020_Mortgage_x0020_Number>
    <Record xmlns="2c388df0-1dc5-4afa-a44b-6e8006f51c63">Deal</Record>
    <Account xmlns="2c388df0-1dc5-4afa-a44b-6e8006f51c63">Green Cedar Homes Inc.</Account>
    <Deal_x0020_Status xmlns="2c388df0-1dc5-4afa-a44b-6e8006f51c63">5.1 Initial Review of Credit Application</Deal_x0020_Status>
    <Lead_x0020_Status xmlns="2c388df0-1dc5-4afa-a44b-6e8006f51c63">Qualified</Lead_x0020_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8CBEAC76BC4D4DB0B76D891AD1F0DA" ma:contentTypeVersion="18" ma:contentTypeDescription="Create a new document." ma:contentTypeScope="" ma:versionID="318f56f25ba7a2eeb3b6b9d0b942ed7a">
  <xsd:schema xmlns:xsd="http://www.w3.org/2001/XMLSchema" xmlns:xs="http://www.w3.org/2001/XMLSchema" xmlns:p="http://schemas.microsoft.com/office/2006/metadata/properties" xmlns:ns2="fd0b0004-c0aa-4bd9-b887-e6fc37d6a9c9" xmlns:ns3="2c388df0-1dc5-4afa-a44b-6e8006f51c63" targetNamespace="http://schemas.microsoft.com/office/2006/metadata/properties" ma:root="true" ma:fieldsID="eac2613d122d4213b36f0f4b2f61f30d" ns2:_="" ns3:_="">
    <xsd:import namespace="fd0b0004-c0aa-4bd9-b887-e6fc37d6a9c9"/>
    <xsd:import namespace="2c388df0-1dc5-4afa-a44b-6e8006f51c63"/>
    <xsd:element name="properties">
      <xsd:complexType>
        <xsd:sequence>
          <xsd:element name="documentManagement">
            <xsd:complexType>
              <xsd:all>
                <xsd:element ref="ns2:CRM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Deal_x0020_Status" minOccurs="0"/>
                <xsd:element ref="ns3:Record" minOccurs="0"/>
                <xsd:element ref="ns3:TMO_x0020_Mortgage_x0020_Number" minOccurs="0"/>
                <xsd:element ref="ns3:Lead_x0020_Status" minOccurs="0"/>
                <xsd:element ref="ns3:Account" minOccurs="0"/>
                <xsd:element ref="ns3:Lending_x0020_Stag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0b0004-c0aa-4bd9-b887-e6fc37d6a9c9" elementFormDefault="qualified">
    <xsd:import namespace="http://schemas.microsoft.com/office/2006/documentManagement/types"/>
    <xsd:import namespace="http://schemas.microsoft.com/office/infopath/2007/PartnerControls"/>
    <xsd:element name="CRMID" ma:index="8" nillable="true" ma:displayName="CRMID" ma:decimals="0" ma:indexed="true" ma:internalName="CRMID">
      <xsd:simpleType>
        <xsd:restriction base="dms:Number">
          <xsd:minInclusive value="1"/>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4d826d0-3e2c-47a9-968b-69511b302ce4"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388df0-1dc5-4afa-a44b-6e8006f51c6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8d125a7-5573-4c35-bc0f-2c0cf6e9107b}" ma:internalName="TaxCatchAll" ma:showField="CatchAllData" ma:web="2c388df0-1dc5-4afa-a44b-6e8006f51c63">
      <xsd:complexType>
        <xsd:complexContent>
          <xsd:extension base="dms:MultiChoiceLookup">
            <xsd:sequence>
              <xsd:element name="Value" type="dms:Lookup" maxOccurs="unbounded" minOccurs="0" nillable="true"/>
            </xsd:sequence>
          </xsd:extension>
        </xsd:complexContent>
      </xsd:complexType>
    </xsd:element>
    <xsd:element name="Deal_x0020_Status" ma:index="20" nillable="true" ma:displayName="Deal Status" ma:default="" ma:internalName="Deal_x0020_Status">
      <xsd:simpleType>
        <xsd:restriction base="dms:Text">
          <xsd:maxLength value="255"/>
        </xsd:restriction>
      </xsd:simpleType>
    </xsd:element>
    <xsd:element name="Record" ma:index="21" nillable="true" ma:displayName="Record" ma:default="" ma:format="Dropdown" ma:internalName="Record">
      <xsd:simpleType>
        <xsd:restriction base="dms:Choice">
          <xsd:enumeration value="Lead"/>
          <xsd:enumeration value="Deal"/>
        </xsd:restriction>
      </xsd:simpleType>
    </xsd:element>
    <xsd:element name="TMO_x0020_Mortgage_x0020_Number" ma:index="22" nillable="true" ma:displayName="TMO Mortgage Number" ma:default="" ma:indexed="true" ma:internalName="TMO_x0020_Mortgage_x0020_Number">
      <xsd:simpleType>
        <xsd:restriction base="dms:Text">
          <xsd:maxLength value="255"/>
        </xsd:restriction>
      </xsd:simpleType>
    </xsd:element>
    <xsd:element name="Lead_x0020_Status" ma:index="23" nillable="true" ma:displayName="Lead Status" ma:default="" ma:internalName="Lead_x0020_Status">
      <xsd:simpleType>
        <xsd:restriction base="dms:Text">
          <xsd:maxLength value="255"/>
        </xsd:restriction>
      </xsd:simpleType>
    </xsd:element>
    <xsd:element name="Account" ma:index="24" nillable="true" ma:displayName="Account" ma:default="" ma:internalName="Account">
      <xsd:simpleType>
        <xsd:restriction base="dms:Text">
          <xsd:maxLength value="255"/>
        </xsd:restriction>
      </xsd:simpleType>
    </xsd:element>
    <xsd:element name="Lending_x0020_Stage" ma:index="25" nillable="true" ma:displayName="Stage" ma:internalName="Lending_x0020_Stag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8793C0-C76D-4AD0-B17C-6406CB1174A4}">
  <ds:schemaRefs>
    <ds:schemaRef ds:uri="http://schemas.microsoft.com/sharepoint/v3/contenttype/forms"/>
  </ds:schemaRefs>
</ds:datastoreItem>
</file>

<file path=customXml/itemProps2.xml><?xml version="1.0" encoding="utf-8"?>
<ds:datastoreItem xmlns:ds="http://schemas.openxmlformats.org/officeDocument/2006/customXml" ds:itemID="{BE0C36E7-FD54-46E2-B552-A57AB5B7722E}">
  <ds:schemaRefs>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2c388df0-1dc5-4afa-a44b-6e8006f51c63"/>
    <ds:schemaRef ds:uri="fd0b0004-c0aa-4bd9-b887-e6fc37d6a9c9"/>
    <ds:schemaRef ds:uri="http://www.w3.org/XML/1998/namespace"/>
  </ds:schemaRefs>
</ds:datastoreItem>
</file>

<file path=customXml/itemProps3.xml><?xml version="1.0" encoding="utf-8"?>
<ds:datastoreItem xmlns:ds="http://schemas.openxmlformats.org/officeDocument/2006/customXml" ds:itemID="{648D7D67-BD0A-4972-8A1C-F3570B804D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0b0004-c0aa-4bd9-b887-e6fc37d6a9c9"/>
    <ds:schemaRef ds:uri="2c388df0-1dc5-4afa-a44b-6e8006f51c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Land UW</vt:lpstr>
      <vt:lpstr>Property Comparables</vt:lpstr>
      <vt:lpstr>Sheet3</vt:lpstr>
      <vt:lpstr>Sheet2</vt:lpstr>
      <vt:lpstr>Land Comps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Cikaluk</dc:creator>
  <cp:keywords/>
  <dc:description/>
  <cp:lastModifiedBy>Tyler Cikaluk</cp:lastModifiedBy>
  <cp:revision/>
  <dcterms:created xsi:type="dcterms:W3CDTF">2020-04-22T18:34:22Z</dcterms:created>
  <dcterms:modified xsi:type="dcterms:W3CDTF">2026-02-10T21:12:17Z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0x0101004E8CBEAC76BC4D4DB0B76D891AD1F0DA</vt:lpwstr>
  </property>
  <property fmtid="{D5CDD505-2E9C-101B-9397-08002B2CF9AE}" pid="3" name="Order">
    <vt:r8>13075800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SharedWithUsers">
    <vt:lpwstr>3448;#Sean Rowland;#30;#Tyler Cikaluk</vt:lpwstr>
  </property>
</Properties>
</file>